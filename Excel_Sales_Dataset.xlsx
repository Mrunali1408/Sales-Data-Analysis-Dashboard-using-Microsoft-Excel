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390" yWindow="555" windowWidth="19815" windowHeight="9405" activeTab="2"/>
  </bookViews>
  <sheets>
    <sheet name="Sales_Data" sheetId="1" r:id="rId1"/>
    <sheet name="Analysis" sheetId="2" r:id="rId2"/>
    <sheet name="Sum_Of_Sales" sheetId="5" r:id="rId3"/>
    <sheet name="Profit by Product" sheetId="6" r:id="rId4"/>
    <sheet name="Monthly Sales" sheetId="7" r:id="rId5"/>
    <sheet name="Quantity by Category" sheetId="8" r:id="rId6"/>
    <sheet name="Dashboards" sheetId="9" r:id="rId7"/>
  </sheets>
  <definedNames>
    <definedName name="_xlnm._FilterDatabase" localSheetId="1" hidden="1">Analysis!$A$1:$R$501</definedName>
    <definedName name="Slicer_Product">#N/A</definedName>
    <definedName name="Slicer_Region">#N/A</definedName>
  </definedNames>
  <calcPr calcId="144525"/>
  <pivotCaches>
    <pivotCache cacheId="1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 i="9" l="1"/>
  <c r="B3" i="9"/>
  <c r="B2" i="9"/>
  <c r="B1" i="9"/>
  <c r="R5" i="2"/>
  <c r="R4" i="2"/>
  <c r="R3" i="2"/>
  <c r="R2" i="2"/>
  <c r="P140" i="2"/>
  <c r="P171" i="2"/>
  <c r="P486" i="2"/>
  <c r="P380" i="2"/>
  <c r="P406" i="2"/>
  <c r="P7" i="2"/>
  <c r="P98" i="2"/>
  <c r="P211" i="2"/>
  <c r="P161" i="2"/>
  <c r="P494" i="2"/>
  <c r="P260" i="2"/>
  <c r="P114" i="2"/>
  <c r="P359" i="2"/>
  <c r="P219" i="2"/>
  <c r="P382" i="2"/>
  <c r="P26" i="2"/>
  <c r="P254" i="2"/>
  <c r="P95" i="2"/>
  <c r="P123" i="2"/>
  <c r="P147" i="2"/>
  <c r="P115" i="2"/>
  <c r="P458" i="2"/>
  <c r="P31" i="2"/>
  <c r="P431" i="2"/>
  <c r="P264" i="2"/>
  <c r="P467" i="2"/>
  <c r="P483" i="2"/>
  <c r="P289" i="2"/>
  <c r="P392" i="2"/>
  <c r="P383" i="2"/>
  <c r="P47" i="2"/>
  <c r="P179" i="2"/>
  <c r="P347" i="2"/>
  <c r="P2" i="2"/>
  <c r="P196" i="2"/>
  <c r="P241" i="2"/>
  <c r="P499" i="2"/>
  <c r="P500" i="2"/>
  <c r="P422" i="2"/>
  <c r="P18" i="2"/>
  <c r="P324" i="2"/>
  <c r="P326" i="2"/>
  <c r="P429" i="2"/>
  <c r="P224" i="2"/>
  <c r="P304" i="2"/>
  <c r="P172" i="2"/>
  <c r="P165" i="2"/>
  <c r="P164" i="2"/>
  <c r="P246" i="2"/>
  <c r="P423" i="2"/>
  <c r="P273" i="2"/>
  <c r="P173" i="2"/>
  <c r="P299" i="2"/>
  <c r="P188" i="2"/>
  <c r="P22" i="2"/>
  <c r="P52" i="2"/>
  <c r="P471" i="2"/>
  <c r="P176" i="2"/>
  <c r="P312" i="2"/>
  <c r="P479" i="2"/>
  <c r="P57" i="2"/>
  <c r="P186" i="2"/>
  <c r="P497" i="2"/>
  <c r="P148" i="2"/>
  <c r="P204" i="2"/>
  <c r="P126" i="2"/>
  <c r="P419" i="2"/>
  <c r="P468" i="2"/>
  <c r="P242" i="2"/>
  <c r="P69" i="2"/>
  <c r="P284" i="2"/>
  <c r="P393" i="2"/>
  <c r="P274" i="2"/>
  <c r="P375" i="2"/>
  <c r="P487" i="2"/>
  <c r="P305" i="2"/>
  <c r="P153" i="2"/>
  <c r="P162" i="2"/>
  <c r="P400" i="2"/>
  <c r="P390" i="2"/>
  <c r="P48" i="2"/>
  <c r="P232" i="2"/>
  <c r="P357" i="2"/>
  <c r="P3" i="2"/>
  <c r="P8" i="2"/>
  <c r="P177" i="2"/>
  <c r="P443" i="2"/>
  <c r="P268" i="2"/>
  <c r="P154" i="2"/>
  <c r="P469" i="2"/>
  <c r="P108" i="2"/>
  <c r="P4" i="2"/>
  <c r="P420" i="2"/>
  <c r="P87" i="2"/>
  <c r="P49" i="2"/>
  <c r="P362" i="2"/>
  <c r="P50" i="2"/>
  <c r="P9" i="2"/>
  <c r="P340" i="2"/>
  <c r="P141" i="2"/>
  <c r="P227" i="2"/>
  <c r="P456" i="2"/>
  <c r="P414" i="2"/>
  <c r="P97" i="2"/>
  <c r="P127" i="2"/>
  <c r="P15" i="2"/>
  <c r="P325" i="2"/>
  <c r="P16" i="2"/>
  <c r="P84" i="2"/>
  <c r="P335" i="2"/>
  <c r="P361" i="2"/>
  <c r="P459" i="2"/>
  <c r="P317" i="2"/>
  <c r="P27" i="2"/>
  <c r="P401" i="2"/>
  <c r="P379" i="2"/>
  <c r="P100" i="2"/>
  <c r="P38" i="2"/>
  <c r="P484" i="2"/>
  <c r="P296" i="2"/>
  <c r="P180" i="2"/>
  <c r="P205" i="2"/>
  <c r="P441" i="2"/>
  <c r="P462" i="2"/>
  <c r="P90" i="2"/>
  <c r="P277" i="2"/>
  <c r="P218" i="2"/>
  <c r="P353" i="2"/>
  <c r="P88" i="2"/>
  <c r="P243" i="2"/>
  <c r="P323" i="2"/>
  <c r="P228" i="2"/>
  <c r="P492" i="2"/>
  <c r="P255" i="2"/>
  <c r="P233" i="2"/>
  <c r="P85" i="2"/>
  <c r="P106" i="2"/>
  <c r="P28" i="2"/>
  <c r="P116" i="2"/>
  <c r="P341" i="2"/>
  <c r="P35" i="2"/>
  <c r="P397" i="2"/>
  <c r="P282" i="2"/>
  <c r="P222" i="2"/>
  <c r="P99" i="2"/>
  <c r="P191" i="2"/>
  <c r="P290" i="2"/>
  <c r="P60" i="2"/>
  <c r="P200" i="2"/>
  <c r="P490" i="2"/>
  <c r="P223" i="2"/>
  <c r="P367" i="2"/>
  <c r="P413" i="2"/>
  <c r="P263" i="2"/>
  <c r="P142" i="2"/>
  <c r="P327" i="2"/>
  <c r="P24" i="2"/>
  <c r="P117" i="2"/>
  <c r="P149" i="2"/>
  <c r="P208" i="2"/>
  <c r="P67" i="2"/>
  <c r="P192" i="2"/>
  <c r="P256" i="2"/>
  <c r="P19" i="2"/>
  <c r="P225" i="2"/>
  <c r="P342" i="2"/>
  <c r="P376" i="2"/>
  <c r="P328" i="2"/>
  <c r="P252" i="2"/>
  <c r="P193" i="2"/>
  <c r="P384" i="2"/>
  <c r="P285" i="2"/>
  <c r="P209" i="2"/>
  <c r="P365" i="2"/>
  <c r="P404" i="2"/>
  <c r="P440" i="2"/>
  <c r="P25" i="2"/>
  <c r="P155" i="2"/>
  <c r="P480" i="2"/>
  <c r="P109" i="2"/>
  <c r="P491" i="2"/>
  <c r="P73" i="2"/>
  <c r="P463" i="2"/>
  <c r="P229" i="2"/>
  <c r="P286" i="2"/>
  <c r="P446" i="2"/>
  <c r="P156" i="2"/>
  <c r="P128" i="2"/>
  <c r="P269" i="2"/>
  <c r="P432" i="2"/>
  <c r="P59" i="2"/>
  <c r="P348" i="2"/>
  <c r="P395" i="2"/>
  <c r="P436" i="2"/>
  <c r="P61" i="2"/>
  <c r="P230" i="2"/>
  <c r="P410" i="2"/>
  <c r="P425" i="2"/>
  <c r="P129" i="2"/>
  <c r="P338" i="2"/>
  <c r="P112" i="2"/>
  <c r="P371" i="2"/>
  <c r="P488" i="2"/>
  <c r="P451" i="2"/>
  <c r="P214" i="2"/>
  <c r="P309" i="2"/>
  <c r="P118" i="2"/>
  <c r="P297" i="2"/>
  <c r="P234" i="2"/>
  <c r="P5" i="2"/>
  <c r="P430" i="2"/>
  <c r="P433" i="2"/>
  <c r="P247" i="2"/>
  <c r="P235" i="2"/>
  <c r="P124" i="2"/>
  <c r="P203" i="2"/>
  <c r="P231" i="2"/>
  <c r="P464" i="2"/>
  <c r="P158" i="2"/>
  <c r="P107" i="2"/>
  <c r="P39" i="2"/>
  <c r="P91" i="2"/>
  <c r="P391" i="2"/>
  <c r="P336" i="2"/>
  <c r="P402" i="2"/>
  <c r="P291" i="2"/>
  <c r="P6" i="2"/>
  <c r="P310" i="2"/>
  <c r="P465" i="2"/>
  <c r="P261" i="2"/>
  <c r="P245" i="2"/>
  <c r="P42" i="2"/>
  <c r="P396" i="2"/>
  <c r="P41" i="2"/>
  <c r="P334" i="2"/>
  <c r="P201" i="2"/>
  <c r="P275" i="2"/>
  <c r="P266" i="2"/>
  <c r="P434" i="2"/>
  <c r="P53" i="2"/>
  <c r="P481" i="2"/>
  <c r="P329" i="2"/>
  <c r="P92" i="2"/>
  <c r="P498" i="2"/>
  <c r="P30" i="2"/>
  <c r="P316" i="2"/>
  <c r="P477" i="2"/>
  <c r="P96" i="2"/>
  <c r="P187" i="2"/>
  <c r="P70" i="2"/>
  <c r="P197" i="2"/>
  <c r="P250" i="2"/>
  <c r="P10" i="2"/>
  <c r="P134" i="2"/>
  <c r="P168" i="2"/>
  <c r="P45" i="2"/>
  <c r="P159" i="2"/>
  <c r="P495" i="2"/>
  <c r="P257" i="2"/>
  <c r="P11" i="2"/>
  <c r="P368" i="2"/>
  <c r="P215" i="2"/>
  <c r="P313" i="2"/>
  <c r="P55" i="2"/>
  <c r="P169" i="2"/>
  <c r="P135" i="2"/>
  <c r="P411" i="2"/>
  <c r="P343" i="2"/>
  <c r="P248" i="2"/>
  <c r="P46" i="2"/>
  <c r="P163" i="2"/>
  <c r="P206" i="2"/>
  <c r="P415" i="2"/>
  <c r="P278" i="2"/>
  <c r="P272" i="2"/>
  <c r="P330" i="2"/>
  <c r="P344" i="2"/>
  <c r="P372" i="2"/>
  <c r="P121" i="2"/>
  <c r="P143" i="2"/>
  <c r="P366" i="2"/>
  <c r="P426" i="2"/>
  <c r="P416" i="2"/>
  <c r="P385" i="2"/>
  <c r="P136" i="2"/>
  <c r="P74" i="2"/>
  <c r="P62" i="2"/>
  <c r="P110" i="2"/>
  <c r="P485" i="2"/>
  <c r="P244" i="2"/>
  <c r="P472" i="2"/>
  <c r="P111" i="2"/>
  <c r="P166" i="2"/>
  <c r="P236" i="2"/>
  <c r="P369" i="2"/>
  <c r="P212" i="2"/>
  <c r="P394" i="2"/>
  <c r="P270" i="2"/>
  <c r="P298" i="2"/>
  <c r="P65" i="2"/>
  <c r="P89" i="2"/>
  <c r="P182" i="2"/>
  <c r="P78" i="2"/>
  <c r="P144" i="2"/>
  <c r="P125" i="2"/>
  <c r="P119" i="2"/>
  <c r="P54" i="2"/>
  <c r="P198" i="2"/>
  <c r="P407" i="2"/>
  <c r="P105" i="2"/>
  <c r="P75" i="2"/>
  <c r="P43" i="2"/>
  <c r="P496" i="2"/>
  <c r="P12" i="2"/>
  <c r="P331" i="2"/>
  <c r="P303" i="2"/>
  <c r="P354" i="2"/>
  <c r="P421" i="2"/>
  <c r="P66" i="2"/>
  <c r="P63" i="2"/>
  <c r="P213" i="2"/>
  <c r="P237" i="2"/>
  <c r="P64" i="2"/>
  <c r="P381" i="2"/>
  <c r="P447" i="2"/>
  <c r="P439" i="2"/>
  <c r="P258" i="2"/>
  <c r="P452" i="2"/>
  <c r="P79" i="2"/>
  <c r="P345" i="2"/>
  <c r="P437" i="2"/>
  <c r="P363" i="2"/>
  <c r="P412" i="2"/>
  <c r="P216" i="2"/>
  <c r="P240" i="2"/>
  <c r="P444" i="2"/>
  <c r="P292" i="2"/>
  <c r="P314" i="2"/>
  <c r="P403" i="2"/>
  <c r="P207" i="2"/>
  <c r="P86" i="2"/>
  <c r="P442" i="2"/>
  <c r="P80" i="2"/>
  <c r="P398" i="2"/>
  <c r="P183" i="2"/>
  <c r="P370" i="2"/>
  <c r="P81" i="2"/>
  <c r="P217" i="2"/>
  <c r="P23" i="2"/>
  <c r="P405" i="2"/>
  <c r="P83" i="2"/>
  <c r="P37" i="2"/>
  <c r="P174" i="2"/>
  <c r="P332" i="2"/>
  <c r="P33" i="2"/>
  <c r="P137" i="2"/>
  <c r="P427" i="2"/>
  <c r="P130" i="2"/>
  <c r="P138" i="2"/>
  <c r="P408" i="2"/>
  <c r="P461" i="2"/>
  <c r="P113" i="2"/>
  <c r="P435" i="2"/>
  <c r="P120" i="2"/>
  <c r="P51" i="2"/>
  <c r="P377" i="2"/>
  <c r="P306" i="2"/>
  <c r="P300" i="2"/>
  <c r="P473" i="2"/>
  <c r="P417" i="2"/>
  <c r="P150" i="2"/>
  <c r="P349" i="2"/>
  <c r="P319" i="2"/>
  <c r="P181" i="2"/>
  <c r="P386" i="2"/>
  <c r="P238" i="2"/>
  <c r="P68" i="2"/>
  <c r="P93" i="2"/>
  <c r="P339" i="2"/>
  <c r="P32" i="2"/>
  <c r="P220" i="2"/>
  <c r="P474" i="2"/>
  <c r="P482" i="2"/>
  <c r="P448" i="2"/>
  <c r="P489" i="2"/>
  <c r="P13" i="2"/>
  <c r="P438" i="2"/>
  <c r="P355" i="2"/>
  <c r="P453" i="2"/>
  <c r="P178" i="2"/>
  <c r="P101" i="2"/>
  <c r="P283" i="2"/>
  <c r="P184" i="2"/>
  <c r="P346" i="2"/>
  <c r="P460" i="2"/>
  <c r="P333" i="2"/>
  <c r="P360" i="2"/>
  <c r="P14" i="2"/>
  <c r="P94" i="2"/>
  <c r="P202" i="2"/>
  <c r="P358" i="2"/>
  <c r="P449" i="2"/>
  <c r="P475" i="2"/>
  <c r="P131" i="2"/>
  <c r="P58" i="2"/>
  <c r="P308" i="2"/>
  <c r="P311" i="2"/>
  <c r="P279" i="2"/>
  <c r="P56" i="2"/>
  <c r="P445" i="2"/>
  <c r="P294" i="2"/>
  <c r="P139" i="2"/>
  <c r="P167" i="2"/>
  <c r="P189" i="2"/>
  <c r="P265" i="2"/>
  <c r="P239" i="2"/>
  <c r="P190" i="2"/>
  <c r="P29" i="2"/>
  <c r="P387" i="2"/>
  <c r="P271" i="2"/>
  <c r="P350" i="2"/>
  <c r="P71" i="2"/>
  <c r="P287" i="2"/>
  <c r="P318" i="2"/>
  <c r="P199" i="2"/>
  <c r="P478" i="2"/>
  <c r="P76" i="2"/>
  <c r="P418" i="2"/>
  <c r="P301" i="2"/>
  <c r="P151" i="2"/>
  <c r="P373" i="2"/>
  <c r="P364" i="2"/>
  <c r="P20" i="2"/>
  <c r="P454" i="2"/>
  <c r="P293" i="2"/>
  <c r="P145" i="2"/>
  <c r="P102" i="2"/>
  <c r="P315" i="2"/>
  <c r="P351" i="2"/>
  <c r="P476" i="2"/>
  <c r="P251" i="2"/>
  <c r="P493" i="2"/>
  <c r="P455" i="2"/>
  <c r="P44" i="2"/>
  <c r="P72" i="2"/>
  <c r="P132" i="2"/>
  <c r="P388" i="2"/>
  <c r="P157" i="2"/>
  <c r="P170" i="2"/>
  <c r="P133" i="2"/>
  <c r="P295" i="2"/>
  <c r="P424" i="2"/>
  <c r="P210" i="2"/>
  <c r="P450" i="2"/>
  <c r="P253" i="2"/>
  <c r="P501" i="2"/>
  <c r="P104" i="2"/>
  <c r="P146" i="2"/>
  <c r="P280" i="2"/>
  <c r="P389" i="2"/>
  <c r="P457" i="2"/>
  <c r="P302" i="2"/>
  <c r="P194" i="2"/>
  <c r="P77" i="2"/>
  <c r="P40" i="2"/>
  <c r="P152" i="2"/>
  <c r="P466" i="2"/>
  <c r="P36" i="2"/>
  <c r="P288" i="2"/>
  <c r="P267" i="2"/>
  <c r="P175" i="2"/>
  <c r="P122" i="2"/>
  <c r="P160" i="2"/>
  <c r="P321" i="2"/>
  <c r="P337" i="2"/>
  <c r="P307" i="2"/>
  <c r="P226" i="2"/>
  <c r="P281" i="2"/>
  <c r="P221" i="2"/>
  <c r="P259" i="2"/>
  <c r="P399" i="2"/>
  <c r="P470" i="2"/>
  <c r="P17" i="2"/>
  <c r="P185" i="2"/>
  <c r="P378" i="2"/>
  <c r="P249" i="2"/>
  <c r="P322" i="2"/>
  <c r="P21" i="2"/>
  <c r="P103" i="2"/>
  <c r="P374" i="2"/>
  <c r="P352" i="2"/>
  <c r="P276" i="2"/>
  <c r="P356" i="2"/>
  <c r="P82" i="2"/>
  <c r="P320" i="2"/>
  <c r="P34" i="2"/>
  <c r="P262" i="2"/>
  <c r="P195" i="2"/>
  <c r="P409" i="2"/>
  <c r="P428" i="2"/>
  <c r="O140" i="2"/>
  <c r="O171" i="2"/>
  <c r="O486" i="2"/>
  <c r="O380" i="2"/>
  <c r="O406" i="2"/>
  <c r="O7" i="2"/>
  <c r="O98" i="2"/>
  <c r="O211" i="2"/>
  <c r="O161" i="2"/>
  <c r="O494" i="2"/>
  <c r="O260" i="2"/>
  <c r="O114" i="2"/>
  <c r="O359" i="2"/>
  <c r="O219" i="2"/>
  <c r="O382" i="2"/>
  <c r="O26" i="2"/>
  <c r="O254" i="2"/>
  <c r="O95" i="2"/>
  <c r="O123" i="2"/>
  <c r="O147" i="2"/>
  <c r="O115" i="2"/>
  <c r="O458" i="2"/>
  <c r="O31" i="2"/>
  <c r="O431" i="2"/>
  <c r="O264" i="2"/>
  <c r="O467" i="2"/>
  <c r="O483" i="2"/>
  <c r="O289" i="2"/>
  <c r="O392" i="2"/>
  <c r="O383" i="2"/>
  <c r="O47" i="2"/>
  <c r="O179" i="2"/>
  <c r="O347" i="2"/>
  <c r="O2" i="2"/>
  <c r="O196" i="2"/>
  <c r="O241" i="2"/>
  <c r="O499" i="2"/>
  <c r="O500" i="2"/>
  <c r="O422" i="2"/>
  <c r="O18" i="2"/>
  <c r="O324" i="2"/>
  <c r="O326" i="2"/>
  <c r="O429" i="2"/>
  <c r="O224" i="2"/>
  <c r="O304" i="2"/>
  <c r="O172" i="2"/>
  <c r="O165" i="2"/>
  <c r="O164" i="2"/>
  <c r="O246" i="2"/>
  <c r="O423" i="2"/>
  <c r="O273" i="2"/>
  <c r="O173" i="2"/>
  <c r="O299" i="2"/>
  <c r="O188" i="2"/>
  <c r="O22" i="2"/>
  <c r="O52" i="2"/>
  <c r="O471" i="2"/>
  <c r="O176" i="2"/>
  <c r="O312" i="2"/>
  <c r="O479" i="2"/>
  <c r="O57" i="2"/>
  <c r="O186" i="2"/>
  <c r="O497" i="2"/>
  <c r="O148" i="2"/>
  <c r="O204" i="2"/>
  <c r="O126" i="2"/>
  <c r="O419" i="2"/>
  <c r="O468" i="2"/>
  <c r="O242" i="2"/>
  <c r="O69" i="2"/>
  <c r="O284" i="2"/>
  <c r="O393" i="2"/>
  <c r="O274" i="2"/>
  <c r="O375" i="2"/>
  <c r="O487" i="2"/>
  <c r="O305" i="2"/>
  <c r="O153" i="2"/>
  <c r="O162" i="2"/>
  <c r="O400" i="2"/>
  <c r="O390" i="2"/>
  <c r="O48" i="2"/>
  <c r="O232" i="2"/>
  <c r="O357" i="2"/>
  <c r="O3" i="2"/>
  <c r="O8" i="2"/>
  <c r="O177" i="2"/>
  <c r="O443" i="2"/>
  <c r="O268" i="2"/>
  <c r="O154" i="2"/>
  <c r="O469" i="2"/>
  <c r="O108" i="2"/>
  <c r="O4" i="2"/>
  <c r="O420" i="2"/>
  <c r="O87" i="2"/>
  <c r="O49" i="2"/>
  <c r="O362" i="2"/>
  <c r="O50" i="2"/>
  <c r="O9" i="2"/>
  <c r="O340" i="2"/>
  <c r="O141" i="2"/>
  <c r="O227" i="2"/>
  <c r="O456" i="2"/>
  <c r="O414" i="2"/>
  <c r="O97" i="2"/>
  <c r="O127" i="2"/>
  <c r="O15" i="2"/>
  <c r="O325" i="2"/>
  <c r="O16" i="2"/>
  <c r="O84" i="2"/>
  <c r="O335" i="2"/>
  <c r="O361" i="2"/>
  <c r="O459" i="2"/>
  <c r="O317" i="2"/>
  <c r="O27" i="2"/>
  <c r="O401" i="2"/>
  <c r="O379" i="2"/>
  <c r="O100" i="2"/>
  <c r="O38" i="2"/>
  <c r="O484" i="2"/>
  <c r="O296" i="2"/>
  <c r="O180" i="2"/>
  <c r="O205" i="2"/>
  <c r="O441" i="2"/>
  <c r="O462" i="2"/>
  <c r="O90" i="2"/>
  <c r="O277" i="2"/>
  <c r="O218" i="2"/>
  <c r="O353" i="2"/>
  <c r="O88" i="2"/>
  <c r="O243" i="2"/>
  <c r="O323" i="2"/>
  <c r="O228" i="2"/>
  <c r="O492" i="2"/>
  <c r="O255" i="2"/>
  <c r="O233" i="2"/>
  <c r="O85" i="2"/>
  <c r="O106" i="2"/>
  <c r="O28" i="2"/>
  <c r="O116" i="2"/>
  <c r="O341" i="2"/>
  <c r="O35" i="2"/>
  <c r="O397" i="2"/>
  <c r="O282" i="2"/>
  <c r="O222" i="2"/>
  <c r="O99" i="2"/>
  <c r="O191" i="2"/>
  <c r="O290" i="2"/>
  <c r="O60" i="2"/>
  <c r="O200" i="2"/>
  <c r="O490" i="2"/>
  <c r="O223" i="2"/>
  <c r="O367" i="2"/>
  <c r="O413" i="2"/>
  <c r="O263" i="2"/>
  <c r="O142" i="2"/>
  <c r="O327" i="2"/>
  <c r="O24" i="2"/>
  <c r="O117" i="2"/>
  <c r="O149" i="2"/>
  <c r="O208" i="2"/>
  <c r="O67" i="2"/>
  <c r="O192" i="2"/>
  <c r="O256" i="2"/>
  <c r="O19" i="2"/>
  <c r="O225" i="2"/>
  <c r="O342" i="2"/>
  <c r="O376" i="2"/>
  <c r="O328" i="2"/>
  <c r="O252" i="2"/>
  <c r="O193" i="2"/>
  <c r="O384" i="2"/>
  <c r="O285" i="2"/>
  <c r="O209" i="2"/>
  <c r="O365" i="2"/>
  <c r="O404" i="2"/>
  <c r="O440" i="2"/>
  <c r="O25" i="2"/>
  <c r="O155" i="2"/>
  <c r="O480" i="2"/>
  <c r="O109" i="2"/>
  <c r="O491" i="2"/>
  <c r="O73" i="2"/>
  <c r="O463" i="2"/>
  <c r="O229" i="2"/>
  <c r="O286" i="2"/>
  <c r="O446" i="2"/>
  <c r="O156" i="2"/>
  <c r="O128" i="2"/>
  <c r="O269" i="2"/>
  <c r="O432" i="2"/>
  <c r="O59" i="2"/>
  <c r="O348" i="2"/>
  <c r="O395" i="2"/>
  <c r="O436" i="2"/>
  <c r="O61" i="2"/>
  <c r="O230" i="2"/>
  <c r="O410" i="2"/>
  <c r="O425" i="2"/>
  <c r="O129" i="2"/>
  <c r="O338" i="2"/>
  <c r="O112" i="2"/>
  <c r="O371" i="2"/>
  <c r="O488" i="2"/>
  <c r="O451" i="2"/>
  <c r="O214" i="2"/>
  <c r="O309" i="2"/>
  <c r="O118" i="2"/>
  <c r="O297" i="2"/>
  <c r="O234" i="2"/>
  <c r="O5" i="2"/>
  <c r="O430" i="2"/>
  <c r="O433" i="2"/>
  <c r="O247" i="2"/>
  <c r="O235" i="2"/>
  <c r="O124" i="2"/>
  <c r="O203" i="2"/>
  <c r="O231" i="2"/>
  <c r="O464" i="2"/>
  <c r="O158" i="2"/>
  <c r="O107" i="2"/>
  <c r="O39" i="2"/>
  <c r="O91" i="2"/>
  <c r="O391" i="2"/>
  <c r="O336" i="2"/>
  <c r="O402" i="2"/>
  <c r="O291" i="2"/>
  <c r="O6" i="2"/>
  <c r="O310" i="2"/>
  <c r="O465" i="2"/>
  <c r="O261" i="2"/>
  <c r="O245" i="2"/>
  <c r="O42" i="2"/>
  <c r="O396" i="2"/>
  <c r="O41" i="2"/>
  <c r="O334" i="2"/>
  <c r="O201" i="2"/>
  <c r="O275" i="2"/>
  <c r="O266" i="2"/>
  <c r="O434" i="2"/>
  <c r="O53" i="2"/>
  <c r="O481" i="2"/>
  <c r="O329" i="2"/>
  <c r="O92" i="2"/>
  <c r="O498" i="2"/>
  <c r="O30" i="2"/>
  <c r="O316" i="2"/>
  <c r="O477" i="2"/>
  <c r="O96" i="2"/>
  <c r="O187" i="2"/>
  <c r="O70" i="2"/>
  <c r="O197" i="2"/>
  <c r="O250" i="2"/>
  <c r="O10" i="2"/>
  <c r="O134" i="2"/>
  <c r="O168" i="2"/>
  <c r="O45" i="2"/>
  <c r="O159" i="2"/>
  <c r="O495" i="2"/>
  <c r="O257" i="2"/>
  <c r="O11" i="2"/>
  <c r="O368" i="2"/>
  <c r="O215" i="2"/>
  <c r="O313" i="2"/>
  <c r="O55" i="2"/>
  <c r="O169" i="2"/>
  <c r="O135" i="2"/>
  <c r="O411" i="2"/>
  <c r="O343" i="2"/>
  <c r="O248" i="2"/>
  <c r="O46" i="2"/>
  <c r="O163" i="2"/>
  <c r="O206" i="2"/>
  <c r="O415" i="2"/>
  <c r="O278" i="2"/>
  <c r="O272" i="2"/>
  <c r="O330" i="2"/>
  <c r="O344" i="2"/>
  <c r="O372" i="2"/>
  <c r="O121" i="2"/>
  <c r="O143" i="2"/>
  <c r="O366" i="2"/>
  <c r="O426" i="2"/>
  <c r="O416" i="2"/>
  <c r="O385" i="2"/>
  <c r="O136" i="2"/>
  <c r="O74" i="2"/>
  <c r="O62" i="2"/>
  <c r="O110" i="2"/>
  <c r="O485" i="2"/>
  <c r="O244" i="2"/>
  <c r="O472" i="2"/>
  <c r="O111" i="2"/>
  <c r="O166" i="2"/>
  <c r="O236" i="2"/>
  <c r="O369" i="2"/>
  <c r="O212" i="2"/>
  <c r="O394" i="2"/>
  <c r="O270" i="2"/>
  <c r="O298" i="2"/>
  <c r="O65" i="2"/>
  <c r="O89" i="2"/>
  <c r="O182" i="2"/>
  <c r="O78" i="2"/>
  <c r="O144" i="2"/>
  <c r="O125" i="2"/>
  <c r="O119" i="2"/>
  <c r="O54" i="2"/>
  <c r="O198" i="2"/>
  <c r="O407" i="2"/>
  <c r="O105" i="2"/>
  <c r="O75" i="2"/>
  <c r="O43" i="2"/>
  <c r="O496" i="2"/>
  <c r="O12" i="2"/>
  <c r="O331" i="2"/>
  <c r="O303" i="2"/>
  <c r="O354" i="2"/>
  <c r="O421" i="2"/>
  <c r="O66" i="2"/>
  <c r="O63" i="2"/>
  <c r="O213" i="2"/>
  <c r="O237" i="2"/>
  <c r="O64" i="2"/>
  <c r="O381" i="2"/>
  <c r="O447" i="2"/>
  <c r="O439" i="2"/>
  <c r="O258" i="2"/>
  <c r="O452" i="2"/>
  <c r="O79" i="2"/>
  <c r="O345" i="2"/>
  <c r="O437" i="2"/>
  <c r="O363" i="2"/>
  <c r="O412" i="2"/>
  <c r="O216" i="2"/>
  <c r="O240" i="2"/>
  <c r="O444" i="2"/>
  <c r="O292" i="2"/>
  <c r="O314" i="2"/>
  <c r="O403" i="2"/>
  <c r="O207" i="2"/>
  <c r="O86" i="2"/>
  <c r="O442" i="2"/>
  <c r="O80" i="2"/>
  <c r="O398" i="2"/>
  <c r="O183" i="2"/>
  <c r="O370" i="2"/>
  <c r="O81" i="2"/>
  <c r="O217" i="2"/>
  <c r="O23" i="2"/>
  <c r="O405" i="2"/>
  <c r="O83" i="2"/>
  <c r="O37" i="2"/>
  <c r="O174" i="2"/>
  <c r="O332" i="2"/>
  <c r="O33" i="2"/>
  <c r="O137" i="2"/>
  <c r="O427" i="2"/>
  <c r="O130" i="2"/>
  <c r="O138" i="2"/>
  <c r="O408" i="2"/>
  <c r="O461" i="2"/>
  <c r="O113" i="2"/>
  <c r="O435" i="2"/>
  <c r="O120" i="2"/>
  <c r="O51" i="2"/>
  <c r="O377" i="2"/>
  <c r="O306" i="2"/>
  <c r="O300" i="2"/>
  <c r="O473" i="2"/>
  <c r="O417" i="2"/>
  <c r="O150" i="2"/>
  <c r="O349" i="2"/>
  <c r="O319" i="2"/>
  <c r="O181" i="2"/>
  <c r="O386" i="2"/>
  <c r="O238" i="2"/>
  <c r="O68" i="2"/>
  <c r="O93" i="2"/>
  <c r="O339" i="2"/>
  <c r="O32" i="2"/>
  <c r="O220" i="2"/>
  <c r="O474" i="2"/>
  <c r="O482" i="2"/>
  <c r="O448" i="2"/>
  <c r="O489" i="2"/>
  <c r="O13" i="2"/>
  <c r="O438" i="2"/>
  <c r="O355" i="2"/>
  <c r="O453" i="2"/>
  <c r="O178" i="2"/>
  <c r="O101" i="2"/>
  <c r="O283" i="2"/>
  <c r="O184" i="2"/>
  <c r="O346" i="2"/>
  <c r="O460" i="2"/>
  <c r="O333" i="2"/>
  <c r="O360" i="2"/>
  <c r="O14" i="2"/>
  <c r="O94" i="2"/>
  <c r="O202" i="2"/>
  <c r="O358" i="2"/>
  <c r="O449" i="2"/>
  <c r="O475" i="2"/>
  <c r="O131" i="2"/>
  <c r="O58" i="2"/>
  <c r="O308" i="2"/>
  <c r="O311" i="2"/>
  <c r="O279" i="2"/>
  <c r="O56" i="2"/>
  <c r="O445" i="2"/>
  <c r="O294" i="2"/>
  <c r="O139" i="2"/>
  <c r="O167" i="2"/>
  <c r="O189" i="2"/>
  <c r="O265" i="2"/>
  <c r="O239" i="2"/>
  <c r="O190" i="2"/>
  <c r="O29" i="2"/>
  <c r="O387" i="2"/>
  <c r="O271" i="2"/>
  <c r="O350" i="2"/>
  <c r="O71" i="2"/>
  <c r="O287" i="2"/>
  <c r="O318" i="2"/>
  <c r="O199" i="2"/>
  <c r="O478" i="2"/>
  <c r="O76" i="2"/>
  <c r="O418" i="2"/>
  <c r="O301" i="2"/>
  <c r="O151" i="2"/>
  <c r="O373" i="2"/>
  <c r="O364" i="2"/>
  <c r="O20" i="2"/>
  <c r="O454" i="2"/>
  <c r="O293" i="2"/>
  <c r="O145" i="2"/>
  <c r="O102" i="2"/>
  <c r="O315" i="2"/>
  <c r="O351" i="2"/>
  <c r="O476" i="2"/>
  <c r="O251" i="2"/>
  <c r="O493" i="2"/>
  <c r="O455" i="2"/>
  <c r="O44" i="2"/>
  <c r="O72" i="2"/>
  <c r="O132" i="2"/>
  <c r="O388" i="2"/>
  <c r="O157" i="2"/>
  <c r="O170" i="2"/>
  <c r="O133" i="2"/>
  <c r="O295" i="2"/>
  <c r="O424" i="2"/>
  <c r="O210" i="2"/>
  <c r="O450" i="2"/>
  <c r="O253" i="2"/>
  <c r="O501" i="2"/>
  <c r="O104" i="2"/>
  <c r="O146" i="2"/>
  <c r="O280" i="2"/>
  <c r="O389" i="2"/>
  <c r="O457" i="2"/>
  <c r="O302" i="2"/>
  <c r="O194" i="2"/>
  <c r="O77" i="2"/>
  <c r="O40" i="2"/>
  <c r="O152" i="2"/>
  <c r="O466" i="2"/>
  <c r="O36" i="2"/>
  <c r="O288" i="2"/>
  <c r="O267" i="2"/>
  <c r="O175" i="2"/>
  <c r="O122" i="2"/>
  <c r="O160" i="2"/>
  <c r="O321" i="2"/>
  <c r="O337" i="2"/>
  <c r="O307" i="2"/>
  <c r="O226" i="2"/>
  <c r="O281" i="2"/>
  <c r="O221" i="2"/>
  <c r="O259" i="2"/>
  <c r="O399" i="2"/>
  <c r="O470" i="2"/>
  <c r="O17" i="2"/>
  <c r="O185" i="2"/>
  <c r="O378" i="2"/>
  <c r="O249" i="2"/>
  <c r="O322" i="2"/>
  <c r="O21" i="2"/>
  <c r="O103" i="2"/>
  <c r="O374" i="2"/>
  <c r="O352" i="2"/>
  <c r="O276" i="2"/>
  <c r="O356" i="2"/>
  <c r="O82" i="2"/>
  <c r="O320" i="2"/>
  <c r="O34" i="2"/>
  <c r="O262" i="2"/>
  <c r="O195" i="2"/>
  <c r="O409" i="2"/>
  <c r="O428" i="2"/>
  <c r="N140" i="2"/>
  <c r="N171" i="2"/>
  <c r="N486" i="2"/>
  <c r="N380" i="2"/>
  <c r="N406" i="2"/>
  <c r="N7" i="2"/>
  <c r="N98" i="2"/>
  <c r="N211" i="2"/>
  <c r="N161" i="2"/>
  <c r="N494" i="2"/>
  <c r="N260" i="2"/>
  <c r="N114" i="2"/>
  <c r="N359" i="2"/>
  <c r="N219" i="2"/>
  <c r="N382" i="2"/>
  <c r="N26" i="2"/>
  <c r="N254" i="2"/>
  <c r="N95" i="2"/>
  <c r="N123" i="2"/>
  <c r="N147" i="2"/>
  <c r="N115" i="2"/>
  <c r="N458" i="2"/>
  <c r="N31" i="2"/>
  <c r="N431" i="2"/>
  <c r="N264" i="2"/>
  <c r="N467" i="2"/>
  <c r="N483" i="2"/>
  <c r="N289" i="2"/>
  <c r="N392" i="2"/>
  <c r="N383" i="2"/>
  <c r="N47" i="2"/>
  <c r="N179" i="2"/>
  <c r="N347" i="2"/>
  <c r="N2" i="2"/>
  <c r="N196" i="2"/>
  <c r="N241" i="2"/>
  <c r="N499" i="2"/>
  <c r="N500" i="2"/>
  <c r="N422" i="2"/>
  <c r="N18" i="2"/>
  <c r="N324" i="2"/>
  <c r="N326" i="2"/>
  <c r="N429" i="2"/>
  <c r="N224" i="2"/>
  <c r="N304" i="2"/>
  <c r="N172" i="2"/>
  <c r="N165" i="2"/>
  <c r="N164" i="2"/>
  <c r="N246" i="2"/>
  <c r="N423" i="2"/>
  <c r="N273" i="2"/>
  <c r="N173" i="2"/>
  <c r="N299" i="2"/>
  <c r="N188" i="2"/>
  <c r="N22" i="2"/>
  <c r="N52" i="2"/>
  <c r="N471" i="2"/>
  <c r="N176" i="2"/>
  <c r="N312" i="2"/>
  <c r="N479" i="2"/>
  <c r="N57" i="2"/>
  <c r="N186" i="2"/>
  <c r="N497" i="2"/>
  <c r="N148" i="2"/>
  <c r="N204" i="2"/>
  <c r="N126" i="2"/>
  <c r="N419" i="2"/>
  <c r="N468" i="2"/>
  <c r="N242" i="2"/>
  <c r="N69" i="2"/>
  <c r="N284" i="2"/>
  <c r="N393" i="2"/>
  <c r="N274" i="2"/>
  <c r="N375" i="2"/>
  <c r="N487" i="2"/>
  <c r="N305" i="2"/>
  <c r="N153" i="2"/>
  <c r="N162" i="2"/>
  <c r="N400" i="2"/>
  <c r="N390" i="2"/>
  <c r="N48" i="2"/>
  <c r="N232" i="2"/>
  <c r="N357" i="2"/>
  <c r="N3" i="2"/>
  <c r="N8" i="2"/>
  <c r="N177" i="2"/>
  <c r="N443" i="2"/>
  <c r="N268" i="2"/>
  <c r="N154" i="2"/>
  <c r="N469" i="2"/>
  <c r="N108" i="2"/>
  <c r="N4" i="2"/>
  <c r="N420" i="2"/>
  <c r="N87" i="2"/>
  <c r="N49" i="2"/>
  <c r="N362" i="2"/>
  <c r="N50" i="2"/>
  <c r="N9" i="2"/>
  <c r="N340" i="2"/>
  <c r="N141" i="2"/>
  <c r="N227" i="2"/>
  <c r="N456" i="2"/>
  <c r="N414" i="2"/>
  <c r="N97" i="2"/>
  <c r="N127" i="2"/>
  <c r="N15" i="2"/>
  <c r="N325" i="2"/>
  <c r="N16" i="2"/>
  <c r="N84" i="2"/>
  <c r="N335" i="2"/>
  <c r="N361" i="2"/>
  <c r="N459" i="2"/>
  <c r="N317" i="2"/>
  <c r="N27" i="2"/>
  <c r="N401" i="2"/>
  <c r="N379" i="2"/>
  <c r="N100" i="2"/>
  <c r="N38" i="2"/>
  <c r="N484" i="2"/>
  <c r="N296" i="2"/>
  <c r="N180" i="2"/>
  <c r="N205" i="2"/>
  <c r="N441" i="2"/>
  <c r="N462" i="2"/>
  <c r="N90" i="2"/>
  <c r="N277" i="2"/>
  <c r="N218" i="2"/>
  <c r="N353" i="2"/>
  <c r="N88" i="2"/>
  <c r="N243" i="2"/>
  <c r="N323" i="2"/>
  <c r="N228" i="2"/>
  <c r="N492" i="2"/>
  <c r="N255" i="2"/>
  <c r="N233" i="2"/>
  <c r="N85" i="2"/>
  <c r="N106" i="2"/>
  <c r="N28" i="2"/>
  <c r="N116" i="2"/>
  <c r="N341" i="2"/>
  <c r="N35" i="2"/>
  <c r="N397" i="2"/>
  <c r="N282" i="2"/>
  <c r="N222" i="2"/>
  <c r="N99" i="2"/>
  <c r="N191" i="2"/>
  <c r="N290" i="2"/>
  <c r="N60" i="2"/>
  <c r="N200" i="2"/>
  <c r="N490" i="2"/>
  <c r="N223" i="2"/>
  <c r="N367" i="2"/>
  <c r="N413" i="2"/>
  <c r="N263" i="2"/>
  <c r="N142" i="2"/>
  <c r="N327" i="2"/>
  <c r="N24" i="2"/>
  <c r="N117" i="2"/>
  <c r="N149" i="2"/>
  <c r="N208" i="2"/>
  <c r="N67" i="2"/>
  <c r="N192" i="2"/>
  <c r="N256" i="2"/>
  <c r="N19" i="2"/>
  <c r="N225" i="2"/>
  <c r="N342" i="2"/>
  <c r="N376" i="2"/>
  <c r="N328" i="2"/>
  <c r="N252" i="2"/>
  <c r="N193" i="2"/>
  <c r="N384" i="2"/>
  <c r="N285" i="2"/>
  <c r="N209" i="2"/>
  <c r="N365" i="2"/>
  <c r="N404" i="2"/>
  <c r="N440" i="2"/>
  <c r="N25" i="2"/>
  <c r="N155" i="2"/>
  <c r="N480" i="2"/>
  <c r="N109" i="2"/>
  <c r="N491" i="2"/>
  <c r="N73" i="2"/>
  <c r="N463" i="2"/>
  <c r="N229" i="2"/>
  <c r="N286" i="2"/>
  <c r="N446" i="2"/>
  <c r="N156" i="2"/>
  <c r="N128" i="2"/>
  <c r="N269" i="2"/>
  <c r="N432" i="2"/>
  <c r="N59" i="2"/>
  <c r="N348" i="2"/>
  <c r="N395" i="2"/>
  <c r="N436" i="2"/>
  <c r="N61" i="2"/>
  <c r="N230" i="2"/>
  <c r="N410" i="2"/>
  <c r="N425" i="2"/>
  <c r="N129" i="2"/>
  <c r="N338" i="2"/>
  <c r="N112" i="2"/>
  <c r="N371" i="2"/>
  <c r="N488" i="2"/>
  <c r="N451" i="2"/>
  <c r="N214" i="2"/>
  <c r="N309" i="2"/>
  <c r="N118" i="2"/>
  <c r="N297" i="2"/>
  <c r="N234" i="2"/>
  <c r="N5" i="2"/>
  <c r="N430" i="2"/>
  <c r="N433" i="2"/>
  <c r="N247" i="2"/>
  <c r="N235" i="2"/>
  <c r="N124" i="2"/>
  <c r="N203" i="2"/>
  <c r="N231" i="2"/>
  <c r="N464" i="2"/>
  <c r="N158" i="2"/>
  <c r="N107" i="2"/>
  <c r="N39" i="2"/>
  <c r="N91" i="2"/>
  <c r="N391" i="2"/>
  <c r="N336" i="2"/>
  <c r="N402" i="2"/>
  <c r="N291" i="2"/>
  <c r="N6" i="2"/>
  <c r="N310" i="2"/>
  <c r="N465" i="2"/>
  <c r="N261" i="2"/>
  <c r="N245" i="2"/>
  <c r="N42" i="2"/>
  <c r="N396" i="2"/>
  <c r="N41" i="2"/>
  <c r="N334" i="2"/>
  <c r="N201" i="2"/>
  <c r="N275" i="2"/>
  <c r="N266" i="2"/>
  <c r="N434" i="2"/>
  <c r="N53" i="2"/>
  <c r="N481" i="2"/>
  <c r="N329" i="2"/>
  <c r="N92" i="2"/>
  <c r="N498" i="2"/>
  <c r="N30" i="2"/>
  <c r="N316" i="2"/>
  <c r="N477" i="2"/>
  <c r="N96" i="2"/>
  <c r="N187" i="2"/>
  <c r="N70" i="2"/>
  <c r="N197" i="2"/>
  <c r="N250" i="2"/>
  <c r="N10" i="2"/>
  <c r="N134" i="2"/>
  <c r="N168" i="2"/>
  <c r="N45" i="2"/>
  <c r="N159" i="2"/>
  <c r="N495" i="2"/>
  <c r="N257" i="2"/>
  <c r="N11" i="2"/>
  <c r="N368" i="2"/>
  <c r="N215" i="2"/>
  <c r="N313" i="2"/>
  <c r="N55" i="2"/>
  <c r="N169" i="2"/>
  <c r="N135" i="2"/>
  <c r="N411" i="2"/>
  <c r="N343" i="2"/>
  <c r="N248" i="2"/>
  <c r="N46" i="2"/>
  <c r="N163" i="2"/>
  <c r="N206" i="2"/>
  <c r="N415" i="2"/>
  <c r="N278" i="2"/>
  <c r="N272" i="2"/>
  <c r="N330" i="2"/>
  <c r="N344" i="2"/>
  <c r="N372" i="2"/>
  <c r="N121" i="2"/>
  <c r="N143" i="2"/>
  <c r="N366" i="2"/>
  <c r="N426" i="2"/>
  <c r="N416" i="2"/>
  <c r="N385" i="2"/>
  <c r="N136" i="2"/>
  <c r="N74" i="2"/>
  <c r="N62" i="2"/>
  <c r="N110" i="2"/>
  <c r="N485" i="2"/>
  <c r="N244" i="2"/>
  <c r="N472" i="2"/>
  <c r="N111" i="2"/>
  <c r="N166" i="2"/>
  <c r="N236" i="2"/>
  <c r="N369" i="2"/>
  <c r="N212" i="2"/>
  <c r="N394" i="2"/>
  <c r="N270" i="2"/>
  <c r="N298" i="2"/>
  <c r="N65" i="2"/>
  <c r="N89" i="2"/>
  <c r="N182" i="2"/>
  <c r="N78" i="2"/>
  <c r="N144" i="2"/>
  <c r="N125" i="2"/>
  <c r="N119" i="2"/>
  <c r="N54" i="2"/>
  <c r="N198" i="2"/>
  <c r="N407" i="2"/>
  <c r="N105" i="2"/>
  <c r="N75" i="2"/>
  <c r="N43" i="2"/>
  <c r="N496" i="2"/>
  <c r="N12" i="2"/>
  <c r="N331" i="2"/>
  <c r="N303" i="2"/>
  <c r="N354" i="2"/>
  <c r="N421" i="2"/>
  <c r="N66" i="2"/>
  <c r="N63" i="2"/>
  <c r="N213" i="2"/>
  <c r="N237" i="2"/>
  <c r="N64" i="2"/>
  <c r="N381" i="2"/>
  <c r="N447" i="2"/>
  <c r="N439" i="2"/>
  <c r="N258" i="2"/>
  <c r="N452" i="2"/>
  <c r="N79" i="2"/>
  <c r="N345" i="2"/>
  <c r="N437" i="2"/>
  <c r="N363" i="2"/>
  <c r="N412" i="2"/>
  <c r="N216" i="2"/>
  <c r="N240" i="2"/>
  <c r="N444" i="2"/>
  <c r="N292" i="2"/>
  <c r="N314" i="2"/>
  <c r="N403" i="2"/>
  <c r="N207" i="2"/>
  <c r="N86" i="2"/>
  <c r="N442" i="2"/>
  <c r="N80" i="2"/>
  <c r="N398" i="2"/>
  <c r="N183" i="2"/>
  <c r="N370" i="2"/>
  <c r="N81" i="2"/>
  <c r="N217" i="2"/>
  <c r="N23" i="2"/>
  <c r="N405" i="2"/>
  <c r="N83" i="2"/>
  <c r="N37" i="2"/>
  <c r="N174" i="2"/>
  <c r="N332" i="2"/>
  <c r="N33" i="2"/>
  <c r="N137" i="2"/>
  <c r="N427" i="2"/>
  <c r="N130" i="2"/>
  <c r="N138" i="2"/>
  <c r="N408" i="2"/>
  <c r="N461" i="2"/>
  <c r="N113" i="2"/>
  <c r="N435" i="2"/>
  <c r="N120" i="2"/>
  <c r="N51" i="2"/>
  <c r="N377" i="2"/>
  <c r="N306" i="2"/>
  <c r="N300" i="2"/>
  <c r="N473" i="2"/>
  <c r="N417" i="2"/>
  <c r="N150" i="2"/>
  <c r="N349" i="2"/>
  <c r="N319" i="2"/>
  <c r="N181" i="2"/>
  <c r="N386" i="2"/>
  <c r="N238" i="2"/>
  <c r="N68" i="2"/>
  <c r="N93" i="2"/>
  <c r="N339" i="2"/>
  <c r="N32" i="2"/>
  <c r="N220" i="2"/>
  <c r="N474" i="2"/>
  <c r="N482" i="2"/>
  <c r="N448" i="2"/>
  <c r="N489" i="2"/>
  <c r="N13" i="2"/>
  <c r="N438" i="2"/>
  <c r="N355" i="2"/>
  <c r="N453" i="2"/>
  <c r="N178" i="2"/>
  <c r="N101" i="2"/>
  <c r="N283" i="2"/>
  <c r="N184" i="2"/>
  <c r="N346" i="2"/>
  <c r="N460" i="2"/>
  <c r="N333" i="2"/>
  <c r="N360" i="2"/>
  <c r="N14" i="2"/>
  <c r="N94" i="2"/>
  <c r="N202" i="2"/>
  <c r="N358" i="2"/>
  <c r="N449" i="2"/>
  <c r="N475" i="2"/>
  <c r="N131" i="2"/>
  <c r="N58" i="2"/>
  <c r="N308" i="2"/>
  <c r="N311" i="2"/>
  <c r="N279" i="2"/>
  <c r="N56" i="2"/>
  <c r="N445" i="2"/>
  <c r="N294" i="2"/>
  <c r="N139" i="2"/>
  <c r="N167" i="2"/>
  <c r="N189" i="2"/>
  <c r="N265" i="2"/>
  <c r="N239" i="2"/>
  <c r="N190" i="2"/>
  <c r="N29" i="2"/>
  <c r="N387" i="2"/>
  <c r="N271" i="2"/>
  <c r="N350" i="2"/>
  <c r="N71" i="2"/>
  <c r="N287" i="2"/>
  <c r="N318" i="2"/>
  <c r="N199" i="2"/>
  <c r="N478" i="2"/>
  <c r="N76" i="2"/>
  <c r="N418" i="2"/>
  <c r="N301" i="2"/>
  <c r="N151" i="2"/>
  <c r="N373" i="2"/>
  <c r="N364" i="2"/>
  <c r="N20" i="2"/>
  <c r="N454" i="2"/>
  <c r="N293" i="2"/>
  <c r="N145" i="2"/>
  <c r="N102" i="2"/>
  <c r="N315" i="2"/>
  <c r="N351" i="2"/>
  <c r="N476" i="2"/>
  <c r="N251" i="2"/>
  <c r="N493" i="2"/>
  <c r="N455" i="2"/>
  <c r="N44" i="2"/>
  <c r="N72" i="2"/>
  <c r="N132" i="2"/>
  <c r="N388" i="2"/>
  <c r="N157" i="2"/>
  <c r="N170" i="2"/>
  <c r="N133" i="2"/>
  <c r="N295" i="2"/>
  <c r="N424" i="2"/>
  <c r="N210" i="2"/>
  <c r="N450" i="2"/>
  <c r="N253" i="2"/>
  <c r="N501" i="2"/>
  <c r="N104" i="2"/>
  <c r="N146" i="2"/>
  <c r="N280" i="2"/>
  <c r="N389" i="2"/>
  <c r="N457" i="2"/>
  <c r="N302" i="2"/>
  <c r="N194" i="2"/>
  <c r="N77" i="2"/>
  <c r="N40" i="2"/>
  <c r="N152" i="2"/>
  <c r="N466" i="2"/>
  <c r="N36" i="2"/>
  <c r="N288" i="2"/>
  <c r="N267" i="2"/>
  <c r="N175" i="2"/>
  <c r="N122" i="2"/>
  <c r="N160" i="2"/>
  <c r="N321" i="2"/>
  <c r="N337" i="2"/>
  <c r="N307" i="2"/>
  <c r="N226" i="2"/>
  <c r="N281" i="2"/>
  <c r="N221" i="2"/>
  <c r="N259" i="2"/>
  <c r="N399" i="2"/>
  <c r="N470" i="2"/>
  <c r="N17" i="2"/>
  <c r="N185" i="2"/>
  <c r="N378" i="2"/>
  <c r="N249" i="2"/>
  <c r="N322" i="2"/>
  <c r="N21" i="2"/>
  <c r="N103" i="2"/>
  <c r="N374" i="2"/>
  <c r="N352" i="2"/>
  <c r="N276" i="2"/>
  <c r="N356" i="2"/>
  <c r="N82" i="2"/>
  <c r="N320" i="2"/>
  <c r="N34" i="2"/>
  <c r="N262" i="2"/>
  <c r="N195" i="2"/>
  <c r="N409" i="2"/>
  <c r="N428" i="2"/>
  <c r="M140" i="2"/>
  <c r="M171" i="2"/>
  <c r="M486" i="2"/>
  <c r="M380" i="2"/>
  <c r="M406" i="2"/>
  <c r="M7" i="2"/>
  <c r="M98" i="2"/>
  <c r="M211" i="2"/>
  <c r="M161" i="2"/>
  <c r="M494" i="2"/>
  <c r="M260" i="2"/>
  <c r="M114" i="2"/>
  <c r="M359" i="2"/>
  <c r="M219" i="2"/>
  <c r="M382" i="2"/>
  <c r="M26" i="2"/>
  <c r="M254" i="2"/>
  <c r="M95" i="2"/>
  <c r="M123" i="2"/>
  <c r="M147" i="2"/>
  <c r="M115" i="2"/>
  <c r="M458" i="2"/>
  <c r="M31" i="2"/>
  <c r="M431" i="2"/>
  <c r="M264" i="2"/>
  <c r="M467" i="2"/>
  <c r="M483" i="2"/>
  <c r="M289" i="2"/>
  <c r="M392" i="2"/>
  <c r="M383" i="2"/>
  <c r="M47" i="2"/>
  <c r="M179" i="2"/>
  <c r="M347" i="2"/>
  <c r="M2" i="2"/>
  <c r="M196" i="2"/>
  <c r="M241" i="2"/>
  <c r="M499" i="2"/>
  <c r="M500" i="2"/>
  <c r="M422" i="2"/>
  <c r="M18" i="2"/>
  <c r="M324" i="2"/>
  <c r="M326" i="2"/>
  <c r="M429" i="2"/>
  <c r="M224" i="2"/>
  <c r="M304" i="2"/>
  <c r="M172" i="2"/>
  <c r="M165" i="2"/>
  <c r="M164" i="2"/>
  <c r="M246" i="2"/>
  <c r="M423" i="2"/>
  <c r="M273" i="2"/>
  <c r="M173" i="2"/>
  <c r="M299" i="2"/>
  <c r="M188" i="2"/>
  <c r="M22" i="2"/>
  <c r="M52" i="2"/>
  <c r="M471" i="2"/>
  <c r="M176" i="2"/>
  <c r="M312" i="2"/>
  <c r="M479" i="2"/>
  <c r="M57" i="2"/>
  <c r="M186" i="2"/>
  <c r="M497" i="2"/>
  <c r="M148" i="2"/>
  <c r="M204" i="2"/>
  <c r="M126" i="2"/>
  <c r="M419" i="2"/>
  <c r="M468" i="2"/>
  <c r="M242" i="2"/>
  <c r="M69" i="2"/>
  <c r="M284" i="2"/>
  <c r="M393" i="2"/>
  <c r="M274" i="2"/>
  <c r="M375" i="2"/>
  <c r="M487" i="2"/>
  <c r="M305" i="2"/>
  <c r="M153" i="2"/>
  <c r="M162" i="2"/>
  <c r="M400" i="2"/>
  <c r="M390" i="2"/>
  <c r="M48" i="2"/>
  <c r="M232" i="2"/>
  <c r="M357" i="2"/>
  <c r="M3" i="2"/>
  <c r="M8" i="2"/>
  <c r="M177" i="2"/>
  <c r="M443" i="2"/>
  <c r="M268" i="2"/>
  <c r="M154" i="2"/>
  <c r="M469" i="2"/>
  <c r="M108" i="2"/>
  <c r="M4" i="2"/>
  <c r="M420" i="2"/>
  <c r="M87" i="2"/>
  <c r="M49" i="2"/>
  <c r="M362" i="2"/>
  <c r="M50" i="2"/>
  <c r="M9" i="2"/>
  <c r="M340" i="2"/>
  <c r="M141" i="2"/>
  <c r="M227" i="2"/>
  <c r="M456" i="2"/>
  <c r="M414" i="2"/>
  <c r="M97" i="2"/>
  <c r="M127" i="2"/>
  <c r="M15" i="2"/>
  <c r="M325" i="2"/>
  <c r="M16" i="2"/>
  <c r="M84" i="2"/>
  <c r="M335" i="2"/>
  <c r="M361" i="2"/>
  <c r="M459" i="2"/>
  <c r="M317" i="2"/>
  <c r="M27" i="2"/>
  <c r="M401" i="2"/>
  <c r="M379" i="2"/>
  <c r="M100" i="2"/>
  <c r="M38" i="2"/>
  <c r="M484" i="2"/>
  <c r="M296" i="2"/>
  <c r="M180" i="2"/>
  <c r="M205" i="2"/>
  <c r="M441" i="2"/>
  <c r="M462" i="2"/>
  <c r="M90" i="2"/>
  <c r="M277" i="2"/>
  <c r="M218" i="2"/>
  <c r="M353" i="2"/>
  <c r="M88" i="2"/>
  <c r="M243" i="2"/>
  <c r="M323" i="2"/>
  <c r="M228" i="2"/>
  <c r="M492" i="2"/>
  <c r="M255" i="2"/>
  <c r="M233" i="2"/>
  <c r="M85" i="2"/>
  <c r="M106" i="2"/>
  <c r="M28" i="2"/>
  <c r="M116" i="2"/>
  <c r="M341" i="2"/>
  <c r="M35" i="2"/>
  <c r="M397" i="2"/>
  <c r="M282" i="2"/>
  <c r="M222" i="2"/>
  <c r="M99" i="2"/>
  <c r="M191" i="2"/>
  <c r="M290" i="2"/>
  <c r="M60" i="2"/>
  <c r="M200" i="2"/>
  <c r="M490" i="2"/>
  <c r="M223" i="2"/>
  <c r="M367" i="2"/>
  <c r="M413" i="2"/>
  <c r="M263" i="2"/>
  <c r="M142" i="2"/>
  <c r="M327" i="2"/>
  <c r="M24" i="2"/>
  <c r="M117" i="2"/>
  <c r="M149" i="2"/>
  <c r="M208" i="2"/>
  <c r="M67" i="2"/>
  <c r="M192" i="2"/>
  <c r="M256" i="2"/>
  <c r="M19" i="2"/>
  <c r="M225" i="2"/>
  <c r="M342" i="2"/>
  <c r="M376" i="2"/>
  <c r="M328" i="2"/>
  <c r="M252" i="2"/>
  <c r="M193" i="2"/>
  <c r="M384" i="2"/>
  <c r="M285" i="2"/>
  <c r="M209" i="2"/>
  <c r="M365" i="2"/>
  <c r="M404" i="2"/>
  <c r="M440" i="2"/>
  <c r="M25" i="2"/>
  <c r="M155" i="2"/>
  <c r="M480" i="2"/>
  <c r="M109" i="2"/>
  <c r="M491" i="2"/>
  <c r="M73" i="2"/>
  <c r="M463" i="2"/>
  <c r="M229" i="2"/>
  <c r="M286" i="2"/>
  <c r="M446" i="2"/>
  <c r="M156" i="2"/>
  <c r="M128" i="2"/>
  <c r="M269" i="2"/>
  <c r="M432" i="2"/>
  <c r="M59" i="2"/>
  <c r="M348" i="2"/>
  <c r="M395" i="2"/>
  <c r="M436" i="2"/>
  <c r="M61" i="2"/>
  <c r="M230" i="2"/>
  <c r="M410" i="2"/>
  <c r="M425" i="2"/>
  <c r="M129" i="2"/>
  <c r="M338" i="2"/>
  <c r="M112" i="2"/>
  <c r="M371" i="2"/>
  <c r="M488" i="2"/>
  <c r="M451" i="2"/>
  <c r="M214" i="2"/>
  <c r="M309" i="2"/>
  <c r="M118" i="2"/>
  <c r="M297" i="2"/>
  <c r="M234" i="2"/>
  <c r="M5" i="2"/>
  <c r="M430" i="2"/>
  <c r="M433" i="2"/>
  <c r="M247" i="2"/>
  <c r="M235" i="2"/>
  <c r="M124" i="2"/>
  <c r="M203" i="2"/>
  <c r="M231" i="2"/>
  <c r="M464" i="2"/>
  <c r="M158" i="2"/>
  <c r="M107" i="2"/>
  <c r="M39" i="2"/>
  <c r="M91" i="2"/>
  <c r="M391" i="2"/>
  <c r="M336" i="2"/>
  <c r="M402" i="2"/>
  <c r="M291" i="2"/>
  <c r="M6" i="2"/>
  <c r="M310" i="2"/>
  <c r="M465" i="2"/>
  <c r="M261" i="2"/>
  <c r="M245" i="2"/>
  <c r="M42" i="2"/>
  <c r="M396" i="2"/>
  <c r="M41" i="2"/>
  <c r="M334" i="2"/>
  <c r="M201" i="2"/>
  <c r="M275" i="2"/>
  <c r="M266" i="2"/>
  <c r="M434" i="2"/>
  <c r="M53" i="2"/>
  <c r="M481" i="2"/>
  <c r="M329" i="2"/>
  <c r="M92" i="2"/>
  <c r="M498" i="2"/>
  <c r="M30" i="2"/>
  <c r="M316" i="2"/>
  <c r="M477" i="2"/>
  <c r="M96" i="2"/>
  <c r="M187" i="2"/>
  <c r="M70" i="2"/>
  <c r="M197" i="2"/>
  <c r="M250" i="2"/>
  <c r="M10" i="2"/>
  <c r="M134" i="2"/>
  <c r="M168" i="2"/>
  <c r="M45" i="2"/>
  <c r="M159" i="2"/>
  <c r="M495" i="2"/>
  <c r="M257" i="2"/>
  <c r="M11" i="2"/>
  <c r="M368" i="2"/>
  <c r="M215" i="2"/>
  <c r="M313" i="2"/>
  <c r="M55" i="2"/>
  <c r="M169" i="2"/>
  <c r="M135" i="2"/>
  <c r="M411" i="2"/>
  <c r="M343" i="2"/>
  <c r="M248" i="2"/>
  <c r="M46" i="2"/>
  <c r="M163" i="2"/>
  <c r="M206" i="2"/>
  <c r="M415" i="2"/>
  <c r="M278" i="2"/>
  <c r="M272" i="2"/>
  <c r="M330" i="2"/>
  <c r="M344" i="2"/>
  <c r="M372" i="2"/>
  <c r="M121" i="2"/>
  <c r="M143" i="2"/>
  <c r="M366" i="2"/>
  <c r="M426" i="2"/>
  <c r="M416" i="2"/>
  <c r="M385" i="2"/>
  <c r="M136" i="2"/>
  <c r="M74" i="2"/>
  <c r="M62" i="2"/>
  <c r="M110" i="2"/>
  <c r="M485" i="2"/>
  <c r="M244" i="2"/>
  <c r="M472" i="2"/>
  <c r="M111" i="2"/>
  <c r="M166" i="2"/>
  <c r="M236" i="2"/>
  <c r="M369" i="2"/>
  <c r="M212" i="2"/>
  <c r="M394" i="2"/>
  <c r="M270" i="2"/>
  <c r="M298" i="2"/>
  <c r="M65" i="2"/>
  <c r="M89" i="2"/>
  <c r="M182" i="2"/>
  <c r="M78" i="2"/>
  <c r="M144" i="2"/>
  <c r="M125" i="2"/>
  <c r="M119" i="2"/>
  <c r="M54" i="2"/>
  <c r="M198" i="2"/>
  <c r="M407" i="2"/>
  <c r="M105" i="2"/>
  <c r="M75" i="2"/>
  <c r="M43" i="2"/>
  <c r="M496" i="2"/>
  <c r="M12" i="2"/>
  <c r="M331" i="2"/>
  <c r="M303" i="2"/>
  <c r="M354" i="2"/>
  <c r="M421" i="2"/>
  <c r="M66" i="2"/>
  <c r="M63" i="2"/>
  <c r="M213" i="2"/>
  <c r="M237" i="2"/>
  <c r="M64" i="2"/>
  <c r="M381" i="2"/>
  <c r="M447" i="2"/>
  <c r="M439" i="2"/>
  <c r="M258" i="2"/>
  <c r="M452" i="2"/>
  <c r="M79" i="2"/>
  <c r="M345" i="2"/>
  <c r="M437" i="2"/>
  <c r="M363" i="2"/>
  <c r="M412" i="2"/>
  <c r="M216" i="2"/>
  <c r="M240" i="2"/>
  <c r="M444" i="2"/>
  <c r="M292" i="2"/>
  <c r="M314" i="2"/>
  <c r="M403" i="2"/>
  <c r="M207" i="2"/>
  <c r="M86" i="2"/>
  <c r="M442" i="2"/>
  <c r="M80" i="2"/>
  <c r="M398" i="2"/>
  <c r="M183" i="2"/>
  <c r="M370" i="2"/>
  <c r="M81" i="2"/>
  <c r="M217" i="2"/>
  <c r="M23" i="2"/>
  <c r="M405" i="2"/>
  <c r="M83" i="2"/>
  <c r="M37" i="2"/>
  <c r="M174" i="2"/>
  <c r="M332" i="2"/>
  <c r="M33" i="2"/>
  <c r="M137" i="2"/>
  <c r="M427" i="2"/>
  <c r="M130" i="2"/>
  <c r="M138" i="2"/>
  <c r="M408" i="2"/>
  <c r="M461" i="2"/>
  <c r="M113" i="2"/>
  <c r="M435" i="2"/>
  <c r="M120" i="2"/>
  <c r="M51" i="2"/>
  <c r="M377" i="2"/>
  <c r="M306" i="2"/>
  <c r="M300" i="2"/>
  <c r="M473" i="2"/>
  <c r="M417" i="2"/>
  <c r="M150" i="2"/>
  <c r="M349" i="2"/>
  <c r="M319" i="2"/>
  <c r="M181" i="2"/>
  <c r="M386" i="2"/>
  <c r="M238" i="2"/>
  <c r="M68" i="2"/>
  <c r="M93" i="2"/>
  <c r="M339" i="2"/>
  <c r="M32" i="2"/>
  <c r="M220" i="2"/>
  <c r="M474" i="2"/>
  <c r="M482" i="2"/>
  <c r="M448" i="2"/>
  <c r="M489" i="2"/>
  <c r="M13" i="2"/>
  <c r="M438" i="2"/>
  <c r="M355" i="2"/>
  <c r="M453" i="2"/>
  <c r="M178" i="2"/>
  <c r="M101" i="2"/>
  <c r="M283" i="2"/>
  <c r="M184" i="2"/>
  <c r="M346" i="2"/>
  <c r="M460" i="2"/>
  <c r="M333" i="2"/>
  <c r="M360" i="2"/>
  <c r="M14" i="2"/>
  <c r="M94" i="2"/>
  <c r="M202" i="2"/>
  <c r="M358" i="2"/>
  <c r="M449" i="2"/>
  <c r="M475" i="2"/>
  <c r="M131" i="2"/>
  <c r="M58" i="2"/>
  <c r="M308" i="2"/>
  <c r="M311" i="2"/>
  <c r="M279" i="2"/>
  <c r="M56" i="2"/>
  <c r="M445" i="2"/>
  <c r="M294" i="2"/>
  <c r="M139" i="2"/>
  <c r="M167" i="2"/>
  <c r="M189" i="2"/>
  <c r="M265" i="2"/>
  <c r="M239" i="2"/>
  <c r="M190" i="2"/>
  <c r="M29" i="2"/>
  <c r="M387" i="2"/>
  <c r="M271" i="2"/>
  <c r="M350" i="2"/>
  <c r="M71" i="2"/>
  <c r="M287" i="2"/>
  <c r="M318" i="2"/>
  <c r="M199" i="2"/>
  <c r="M478" i="2"/>
  <c r="M76" i="2"/>
  <c r="M418" i="2"/>
  <c r="M301" i="2"/>
  <c r="M151" i="2"/>
  <c r="M373" i="2"/>
  <c r="M364" i="2"/>
  <c r="M20" i="2"/>
  <c r="M454" i="2"/>
  <c r="M293" i="2"/>
  <c r="M145" i="2"/>
  <c r="M102" i="2"/>
  <c r="M315" i="2"/>
  <c r="M351" i="2"/>
  <c r="M476" i="2"/>
  <c r="M251" i="2"/>
  <c r="M493" i="2"/>
  <c r="M455" i="2"/>
  <c r="M44" i="2"/>
  <c r="M72" i="2"/>
  <c r="M132" i="2"/>
  <c r="M388" i="2"/>
  <c r="M157" i="2"/>
  <c r="M170" i="2"/>
  <c r="M133" i="2"/>
  <c r="M295" i="2"/>
  <c r="M424" i="2"/>
  <c r="M210" i="2"/>
  <c r="M450" i="2"/>
  <c r="M253" i="2"/>
  <c r="M501" i="2"/>
  <c r="M104" i="2"/>
  <c r="M146" i="2"/>
  <c r="M280" i="2"/>
  <c r="M389" i="2"/>
  <c r="M457" i="2"/>
  <c r="M302" i="2"/>
  <c r="M194" i="2"/>
  <c r="M77" i="2"/>
  <c r="M40" i="2"/>
  <c r="M152" i="2"/>
  <c r="M466" i="2"/>
  <c r="M36" i="2"/>
  <c r="M288" i="2"/>
  <c r="M267" i="2"/>
  <c r="M175" i="2"/>
  <c r="M122" i="2"/>
  <c r="M160" i="2"/>
  <c r="M321" i="2"/>
  <c r="M337" i="2"/>
  <c r="M307" i="2"/>
  <c r="M226" i="2"/>
  <c r="M281" i="2"/>
  <c r="M221" i="2"/>
  <c r="M259" i="2"/>
  <c r="M399" i="2"/>
  <c r="M470" i="2"/>
  <c r="M17" i="2"/>
  <c r="M185" i="2"/>
  <c r="M378" i="2"/>
  <c r="M249" i="2"/>
  <c r="M322" i="2"/>
  <c r="M21" i="2"/>
  <c r="M103" i="2"/>
  <c r="M374" i="2"/>
  <c r="M352" i="2"/>
  <c r="M276" i="2"/>
  <c r="M356" i="2"/>
  <c r="M82" i="2"/>
  <c r="M320" i="2"/>
  <c r="M34" i="2"/>
  <c r="M262" i="2"/>
  <c r="M195" i="2"/>
  <c r="M409" i="2"/>
  <c r="M428" i="2"/>
  <c r="L140" i="2"/>
  <c r="L171" i="2"/>
  <c r="L486" i="2"/>
  <c r="L380" i="2"/>
  <c r="L406" i="2"/>
  <c r="L7" i="2"/>
  <c r="L98" i="2"/>
  <c r="L211" i="2"/>
  <c r="L161" i="2"/>
  <c r="L494" i="2"/>
  <c r="L260" i="2"/>
  <c r="L114" i="2"/>
  <c r="L359" i="2"/>
  <c r="L219" i="2"/>
  <c r="L382" i="2"/>
  <c r="L26" i="2"/>
  <c r="L254" i="2"/>
  <c r="L95" i="2"/>
  <c r="L123" i="2"/>
  <c r="L147" i="2"/>
  <c r="L115" i="2"/>
  <c r="L458" i="2"/>
  <c r="L31" i="2"/>
  <c r="L431" i="2"/>
  <c r="L264" i="2"/>
  <c r="L467" i="2"/>
  <c r="L483" i="2"/>
  <c r="L289" i="2"/>
  <c r="L392" i="2"/>
  <c r="L383" i="2"/>
  <c r="L47" i="2"/>
  <c r="L179" i="2"/>
  <c r="L347" i="2"/>
  <c r="L2" i="2"/>
  <c r="L196" i="2"/>
  <c r="L241" i="2"/>
  <c r="L499" i="2"/>
  <c r="L500" i="2"/>
  <c r="L422" i="2"/>
  <c r="L18" i="2"/>
  <c r="L324" i="2"/>
  <c r="L326" i="2"/>
  <c r="L429" i="2"/>
  <c r="L224" i="2"/>
  <c r="L304" i="2"/>
  <c r="L172" i="2"/>
  <c r="L165" i="2"/>
  <c r="L164" i="2"/>
  <c r="L246" i="2"/>
  <c r="L423" i="2"/>
  <c r="L273" i="2"/>
  <c r="L173" i="2"/>
  <c r="L299" i="2"/>
  <c r="L188" i="2"/>
  <c r="L22" i="2"/>
  <c r="L52" i="2"/>
  <c r="L471" i="2"/>
  <c r="L176" i="2"/>
  <c r="L312" i="2"/>
  <c r="L479" i="2"/>
  <c r="L57" i="2"/>
  <c r="L186" i="2"/>
  <c r="L497" i="2"/>
  <c r="L148" i="2"/>
  <c r="L204" i="2"/>
  <c r="L126" i="2"/>
  <c r="L419" i="2"/>
  <c r="L468" i="2"/>
  <c r="L242" i="2"/>
  <c r="L69" i="2"/>
  <c r="L284" i="2"/>
  <c r="L393" i="2"/>
  <c r="L274" i="2"/>
  <c r="L375" i="2"/>
  <c r="L487" i="2"/>
  <c r="L305" i="2"/>
  <c r="L153" i="2"/>
  <c r="L162" i="2"/>
  <c r="L400" i="2"/>
  <c r="L390" i="2"/>
  <c r="L48" i="2"/>
  <c r="L232" i="2"/>
  <c r="L357" i="2"/>
  <c r="L3" i="2"/>
  <c r="L8" i="2"/>
  <c r="L177" i="2"/>
  <c r="L443" i="2"/>
  <c r="L268" i="2"/>
  <c r="L154" i="2"/>
  <c r="L469" i="2"/>
  <c r="L108" i="2"/>
  <c r="L4" i="2"/>
  <c r="L420" i="2"/>
  <c r="L87" i="2"/>
  <c r="L49" i="2"/>
  <c r="L362" i="2"/>
  <c r="L50" i="2"/>
  <c r="L9" i="2"/>
  <c r="L340" i="2"/>
  <c r="L141" i="2"/>
  <c r="L227" i="2"/>
  <c r="L456" i="2"/>
  <c r="L414" i="2"/>
  <c r="L97" i="2"/>
  <c r="L127" i="2"/>
  <c r="L15" i="2"/>
  <c r="L325" i="2"/>
  <c r="L16" i="2"/>
  <c r="L84" i="2"/>
  <c r="L335" i="2"/>
  <c r="L361" i="2"/>
  <c r="L459" i="2"/>
  <c r="L317" i="2"/>
  <c r="L27" i="2"/>
  <c r="L401" i="2"/>
  <c r="L379" i="2"/>
  <c r="L100" i="2"/>
  <c r="L38" i="2"/>
  <c r="L484" i="2"/>
  <c r="L296" i="2"/>
  <c r="L180" i="2"/>
  <c r="L205" i="2"/>
  <c r="L441" i="2"/>
  <c r="L462" i="2"/>
  <c r="L90" i="2"/>
  <c r="L277" i="2"/>
  <c r="L218" i="2"/>
  <c r="L353" i="2"/>
  <c r="L88" i="2"/>
  <c r="L243" i="2"/>
  <c r="L323" i="2"/>
  <c r="L228" i="2"/>
  <c r="L492" i="2"/>
  <c r="L255" i="2"/>
  <c r="L233" i="2"/>
  <c r="L85" i="2"/>
  <c r="L106" i="2"/>
  <c r="L28" i="2"/>
  <c r="L116" i="2"/>
  <c r="L341" i="2"/>
  <c r="L35" i="2"/>
  <c r="L397" i="2"/>
  <c r="L282" i="2"/>
  <c r="L222" i="2"/>
  <c r="L99" i="2"/>
  <c r="L191" i="2"/>
  <c r="L290" i="2"/>
  <c r="L60" i="2"/>
  <c r="L200" i="2"/>
  <c r="L490" i="2"/>
  <c r="L223" i="2"/>
  <c r="L367" i="2"/>
  <c r="L413" i="2"/>
  <c r="L263" i="2"/>
  <c r="L142" i="2"/>
  <c r="L327" i="2"/>
  <c r="L24" i="2"/>
  <c r="L117" i="2"/>
  <c r="L149" i="2"/>
  <c r="L208" i="2"/>
  <c r="L67" i="2"/>
  <c r="L192" i="2"/>
  <c r="L256" i="2"/>
  <c r="L19" i="2"/>
  <c r="L225" i="2"/>
  <c r="L342" i="2"/>
  <c r="L376" i="2"/>
  <c r="L328" i="2"/>
  <c r="L252" i="2"/>
  <c r="L193" i="2"/>
  <c r="L384" i="2"/>
  <c r="L285" i="2"/>
  <c r="L209" i="2"/>
  <c r="L365" i="2"/>
  <c r="L404" i="2"/>
  <c r="L440" i="2"/>
  <c r="L25" i="2"/>
  <c r="L155" i="2"/>
  <c r="L480" i="2"/>
  <c r="L109" i="2"/>
  <c r="L491" i="2"/>
  <c r="L73" i="2"/>
  <c r="L463" i="2"/>
  <c r="L229" i="2"/>
  <c r="L286" i="2"/>
  <c r="L446" i="2"/>
  <c r="L156" i="2"/>
  <c r="L128" i="2"/>
  <c r="L269" i="2"/>
  <c r="L432" i="2"/>
  <c r="L59" i="2"/>
  <c r="L348" i="2"/>
  <c r="L395" i="2"/>
  <c r="L436" i="2"/>
  <c r="L61" i="2"/>
  <c r="L230" i="2"/>
  <c r="L410" i="2"/>
  <c r="L425" i="2"/>
  <c r="L129" i="2"/>
  <c r="L338" i="2"/>
  <c r="L112" i="2"/>
  <c r="L371" i="2"/>
  <c r="L488" i="2"/>
  <c r="L451" i="2"/>
  <c r="L214" i="2"/>
  <c r="L309" i="2"/>
  <c r="L118" i="2"/>
  <c r="L297" i="2"/>
  <c r="L234" i="2"/>
  <c r="L5" i="2"/>
  <c r="L430" i="2"/>
  <c r="L433" i="2"/>
  <c r="L247" i="2"/>
  <c r="L235" i="2"/>
  <c r="L124" i="2"/>
  <c r="L203" i="2"/>
  <c r="L231" i="2"/>
  <c r="L464" i="2"/>
  <c r="L158" i="2"/>
  <c r="L107" i="2"/>
  <c r="L39" i="2"/>
  <c r="L91" i="2"/>
  <c r="L391" i="2"/>
  <c r="L336" i="2"/>
  <c r="L402" i="2"/>
  <c r="L291" i="2"/>
  <c r="L6" i="2"/>
  <c r="L310" i="2"/>
  <c r="L465" i="2"/>
  <c r="L261" i="2"/>
  <c r="L245" i="2"/>
  <c r="L42" i="2"/>
  <c r="L396" i="2"/>
  <c r="L41" i="2"/>
  <c r="L334" i="2"/>
  <c r="L201" i="2"/>
  <c r="L275" i="2"/>
  <c r="L266" i="2"/>
  <c r="L434" i="2"/>
  <c r="L53" i="2"/>
  <c r="L481" i="2"/>
  <c r="L329" i="2"/>
  <c r="L92" i="2"/>
  <c r="L498" i="2"/>
  <c r="L30" i="2"/>
  <c r="L316" i="2"/>
  <c r="L477" i="2"/>
  <c r="L96" i="2"/>
  <c r="L187" i="2"/>
  <c r="L70" i="2"/>
  <c r="L197" i="2"/>
  <c r="L250" i="2"/>
  <c r="L10" i="2"/>
  <c r="L134" i="2"/>
  <c r="L168" i="2"/>
  <c r="L45" i="2"/>
  <c r="L159" i="2"/>
  <c r="L495" i="2"/>
  <c r="L257" i="2"/>
  <c r="L11" i="2"/>
  <c r="L368" i="2"/>
  <c r="L215" i="2"/>
  <c r="L313" i="2"/>
  <c r="L55" i="2"/>
  <c r="L169" i="2"/>
  <c r="L135" i="2"/>
  <c r="L411" i="2"/>
  <c r="L343" i="2"/>
  <c r="L248" i="2"/>
  <c r="L46" i="2"/>
  <c r="L163" i="2"/>
  <c r="L206" i="2"/>
  <c r="L415" i="2"/>
  <c r="L278" i="2"/>
  <c r="L272" i="2"/>
  <c r="L330" i="2"/>
  <c r="L344" i="2"/>
  <c r="L372" i="2"/>
  <c r="L121" i="2"/>
  <c r="L143" i="2"/>
  <c r="L366" i="2"/>
  <c r="L426" i="2"/>
  <c r="L416" i="2"/>
  <c r="L385" i="2"/>
  <c r="L136" i="2"/>
  <c r="L74" i="2"/>
  <c r="L62" i="2"/>
  <c r="L110" i="2"/>
  <c r="L485" i="2"/>
  <c r="L244" i="2"/>
  <c r="L472" i="2"/>
  <c r="L111" i="2"/>
  <c r="L166" i="2"/>
  <c r="L236" i="2"/>
  <c r="L369" i="2"/>
  <c r="L212" i="2"/>
  <c r="L394" i="2"/>
  <c r="L270" i="2"/>
  <c r="L298" i="2"/>
  <c r="L65" i="2"/>
  <c r="L89" i="2"/>
  <c r="L182" i="2"/>
  <c r="L78" i="2"/>
  <c r="L144" i="2"/>
  <c r="L125" i="2"/>
  <c r="L119" i="2"/>
  <c r="L54" i="2"/>
  <c r="L198" i="2"/>
  <c r="L407" i="2"/>
  <c r="L105" i="2"/>
  <c r="L75" i="2"/>
  <c r="L43" i="2"/>
  <c r="L496" i="2"/>
  <c r="L12" i="2"/>
  <c r="L331" i="2"/>
  <c r="L303" i="2"/>
  <c r="L354" i="2"/>
  <c r="L421" i="2"/>
  <c r="L66" i="2"/>
  <c r="L63" i="2"/>
  <c r="L213" i="2"/>
  <c r="L237" i="2"/>
  <c r="L64" i="2"/>
  <c r="L381" i="2"/>
  <c r="L447" i="2"/>
  <c r="L439" i="2"/>
  <c r="L258" i="2"/>
  <c r="L452" i="2"/>
  <c r="L79" i="2"/>
  <c r="L345" i="2"/>
  <c r="L437" i="2"/>
  <c r="L363" i="2"/>
  <c r="L412" i="2"/>
  <c r="L216" i="2"/>
  <c r="L240" i="2"/>
  <c r="L444" i="2"/>
  <c r="L292" i="2"/>
  <c r="L314" i="2"/>
  <c r="L403" i="2"/>
  <c r="L207" i="2"/>
  <c r="L86" i="2"/>
  <c r="L442" i="2"/>
  <c r="L80" i="2"/>
  <c r="L398" i="2"/>
  <c r="L183" i="2"/>
  <c r="L370" i="2"/>
  <c r="L81" i="2"/>
  <c r="L217" i="2"/>
  <c r="L23" i="2"/>
  <c r="L405" i="2"/>
  <c r="L83" i="2"/>
  <c r="L37" i="2"/>
  <c r="L174" i="2"/>
  <c r="L332" i="2"/>
  <c r="L33" i="2"/>
  <c r="L137" i="2"/>
  <c r="L427" i="2"/>
  <c r="L130" i="2"/>
  <c r="L138" i="2"/>
  <c r="L408" i="2"/>
  <c r="L461" i="2"/>
  <c r="L113" i="2"/>
  <c r="L435" i="2"/>
  <c r="L120" i="2"/>
  <c r="L51" i="2"/>
  <c r="L377" i="2"/>
  <c r="L306" i="2"/>
  <c r="L300" i="2"/>
  <c r="L473" i="2"/>
  <c r="L417" i="2"/>
  <c r="L150" i="2"/>
  <c r="L349" i="2"/>
  <c r="L319" i="2"/>
  <c r="L181" i="2"/>
  <c r="L386" i="2"/>
  <c r="L238" i="2"/>
  <c r="L68" i="2"/>
  <c r="L93" i="2"/>
  <c r="L339" i="2"/>
  <c r="L32" i="2"/>
  <c r="L220" i="2"/>
  <c r="L474" i="2"/>
  <c r="L482" i="2"/>
  <c r="L448" i="2"/>
  <c r="L489" i="2"/>
  <c r="L13" i="2"/>
  <c r="L438" i="2"/>
  <c r="L355" i="2"/>
  <c r="L453" i="2"/>
  <c r="L178" i="2"/>
  <c r="L101" i="2"/>
  <c r="L283" i="2"/>
  <c r="L184" i="2"/>
  <c r="L346" i="2"/>
  <c r="L460" i="2"/>
  <c r="L333" i="2"/>
  <c r="L360" i="2"/>
  <c r="L14" i="2"/>
  <c r="L94" i="2"/>
  <c r="L202" i="2"/>
  <c r="L358" i="2"/>
  <c r="L449" i="2"/>
  <c r="L475" i="2"/>
  <c r="L131" i="2"/>
  <c r="L58" i="2"/>
  <c r="L308" i="2"/>
  <c r="L311" i="2"/>
  <c r="L279" i="2"/>
  <c r="L56" i="2"/>
  <c r="L445" i="2"/>
  <c r="L294" i="2"/>
  <c r="L139" i="2"/>
  <c r="L167" i="2"/>
  <c r="L189" i="2"/>
  <c r="L265" i="2"/>
  <c r="L239" i="2"/>
  <c r="L190" i="2"/>
  <c r="L29" i="2"/>
  <c r="L387" i="2"/>
  <c r="L271" i="2"/>
  <c r="L350" i="2"/>
  <c r="L71" i="2"/>
  <c r="L287" i="2"/>
  <c r="L318" i="2"/>
  <c r="L199" i="2"/>
  <c r="L478" i="2"/>
  <c r="L76" i="2"/>
  <c r="L418" i="2"/>
  <c r="L301" i="2"/>
  <c r="L151" i="2"/>
  <c r="L373" i="2"/>
  <c r="L364" i="2"/>
  <c r="L20" i="2"/>
  <c r="L454" i="2"/>
  <c r="L293" i="2"/>
  <c r="L145" i="2"/>
  <c r="L102" i="2"/>
  <c r="L315" i="2"/>
  <c r="L351" i="2"/>
  <c r="L476" i="2"/>
  <c r="L251" i="2"/>
  <c r="L493" i="2"/>
  <c r="L455" i="2"/>
  <c r="L44" i="2"/>
  <c r="L72" i="2"/>
  <c r="L132" i="2"/>
  <c r="L388" i="2"/>
  <c r="L157" i="2"/>
  <c r="L170" i="2"/>
  <c r="L133" i="2"/>
  <c r="L295" i="2"/>
  <c r="L424" i="2"/>
  <c r="L210" i="2"/>
  <c r="L450" i="2"/>
  <c r="L253" i="2"/>
  <c r="L501" i="2"/>
  <c r="L104" i="2"/>
  <c r="L146" i="2"/>
  <c r="L280" i="2"/>
  <c r="L389" i="2"/>
  <c r="L457" i="2"/>
  <c r="L302" i="2"/>
  <c r="L194" i="2"/>
  <c r="L77" i="2"/>
  <c r="L40" i="2"/>
  <c r="L152" i="2"/>
  <c r="L466" i="2"/>
  <c r="L36" i="2"/>
  <c r="L288" i="2"/>
  <c r="L267" i="2"/>
  <c r="L175" i="2"/>
  <c r="L122" i="2"/>
  <c r="L160" i="2"/>
  <c r="L321" i="2"/>
  <c r="L337" i="2"/>
  <c r="L307" i="2"/>
  <c r="L226" i="2"/>
  <c r="L281" i="2"/>
  <c r="L221" i="2"/>
  <c r="L259" i="2"/>
  <c r="L399" i="2"/>
  <c r="L470" i="2"/>
  <c r="L17" i="2"/>
  <c r="L185" i="2"/>
  <c r="L378" i="2"/>
  <c r="L249" i="2"/>
  <c r="L322" i="2"/>
  <c r="L21" i="2"/>
  <c r="L103" i="2"/>
  <c r="L374" i="2"/>
  <c r="L352" i="2"/>
  <c r="L276" i="2"/>
  <c r="L356" i="2"/>
  <c r="L82" i="2"/>
  <c r="L320" i="2"/>
  <c r="L34" i="2"/>
  <c r="L262" i="2"/>
  <c r="L195" i="2"/>
  <c r="L409" i="2"/>
  <c r="L428" i="2"/>
  <c r="Q428" i="2"/>
  <c r="Q386" i="2"/>
  <c r="Q477" i="2"/>
  <c r="Q56" i="2"/>
  <c r="Q269" i="2"/>
  <c r="Q174" i="2"/>
  <c r="Q176" i="2"/>
  <c r="Q194" i="2"/>
  <c r="Q317" i="2"/>
  <c r="Q191" i="2"/>
  <c r="Q330" i="2"/>
  <c r="Q75" i="2"/>
  <c r="Q484" i="2"/>
  <c r="Q379" i="2"/>
  <c r="Q280" i="2"/>
  <c r="Q104" i="2"/>
  <c r="Q87" i="2"/>
  <c r="Q432" i="2"/>
  <c r="Q166" i="2"/>
  <c r="Q227" i="2"/>
  <c r="Q67" i="2"/>
  <c r="Q300" i="2"/>
  <c r="Q212" i="2"/>
  <c r="Q74" i="2"/>
  <c r="Q220" i="2"/>
  <c r="Q123" i="2"/>
  <c r="Q29" i="2"/>
  <c r="Q322" i="2"/>
  <c r="Q19" i="2"/>
  <c r="Q6" i="2"/>
  <c r="Q418" i="2"/>
  <c r="Q137" i="2"/>
  <c r="Q51" i="2"/>
  <c r="Q275" i="2"/>
  <c r="Q21" i="2"/>
  <c r="Q325" i="2"/>
  <c r="Q283" i="2"/>
  <c r="Q8" i="2"/>
  <c r="Q260" i="2"/>
  <c r="Q28" i="2"/>
  <c r="Q217" i="2"/>
  <c r="Q449" i="2"/>
  <c r="Q454" i="2"/>
  <c r="Q361" i="2"/>
  <c r="Q32" i="2"/>
  <c r="Q439" i="2"/>
  <c r="Q281" i="2"/>
  <c r="Q302" i="2"/>
  <c r="Q145" i="2"/>
  <c r="Q156" i="2"/>
  <c r="Q188" i="2"/>
  <c r="Q431" i="2"/>
  <c r="Q323" i="2"/>
  <c r="Q121" i="2"/>
  <c r="Q59" i="2"/>
  <c r="Q214" i="2"/>
  <c r="Q445" i="2"/>
  <c r="Q483" i="2"/>
  <c r="Q501" i="2"/>
  <c r="Q407" i="2"/>
  <c r="Q371" i="2"/>
  <c r="Q136" i="2"/>
  <c r="Q290" i="2"/>
  <c r="Q142" i="2"/>
  <c r="Q45" i="2"/>
  <c r="Q416" i="2"/>
  <c r="Q273" i="2"/>
  <c r="Q485" i="2"/>
  <c r="Q237" i="2"/>
  <c r="Q187" i="2"/>
  <c r="Q129" i="2"/>
  <c r="Q181" i="2"/>
  <c r="Q157" i="2"/>
  <c r="Q243" i="2"/>
  <c r="Q42" i="2"/>
  <c r="Q473" i="2"/>
  <c r="Q450" i="2"/>
  <c r="Q149" i="2"/>
  <c r="Q64" i="2"/>
  <c r="Q183" i="2"/>
  <c r="Q135" i="2"/>
  <c r="Q441" i="2"/>
  <c r="Q355" i="2"/>
  <c r="Q420" i="2"/>
  <c r="Q79" i="2"/>
  <c r="Q248" i="2"/>
  <c r="Q292" i="2"/>
  <c r="Q78" i="2"/>
  <c r="Q298" i="2"/>
  <c r="Q2" i="2"/>
  <c r="Q254" i="2"/>
  <c r="Q377" i="2"/>
  <c r="Q328" i="2"/>
  <c r="Q385" i="2"/>
  <c r="Q189" i="2"/>
  <c r="Q427" i="2"/>
  <c r="Q196" i="2"/>
  <c r="Q99" i="2"/>
  <c r="Q465" i="2"/>
  <c r="Q5" i="2"/>
  <c r="Q113" i="2"/>
  <c r="Q476" i="2"/>
  <c r="Q222" i="2"/>
  <c r="Q4" i="2"/>
  <c r="Q380" i="2"/>
  <c r="Q170" i="2"/>
  <c r="Q239" i="2"/>
  <c r="Q213" i="2"/>
  <c r="Q411" i="2"/>
  <c r="Q211" i="2"/>
  <c r="Q230" i="2"/>
  <c r="Q162" i="2"/>
  <c r="Q210" i="2"/>
  <c r="Q351" i="2"/>
  <c r="Q82" i="2"/>
  <c r="Q339" i="2"/>
  <c r="Q37" i="2"/>
  <c r="Q452" i="2"/>
  <c r="Q134" i="2"/>
  <c r="Q447" i="2"/>
  <c r="Q80" i="2"/>
  <c r="Q108" i="2"/>
  <c r="Q35" i="2"/>
  <c r="Q73" i="2"/>
  <c r="Q410" i="2"/>
  <c r="Q127" i="2"/>
  <c r="Q446" i="2"/>
  <c r="Q143" i="2"/>
  <c r="Q120" i="2"/>
  <c r="Q236" i="2"/>
  <c r="Q430" i="2"/>
  <c r="Q423" i="2"/>
  <c r="Q408" i="2"/>
  <c r="Q466" i="2"/>
  <c r="Q58" i="2"/>
  <c r="Q251" i="2"/>
  <c r="Q463" i="2"/>
  <c r="Q496" i="2"/>
  <c r="Q357" i="2"/>
  <c r="Q327" i="2"/>
  <c r="Q72" i="2"/>
  <c r="Q172" i="2"/>
  <c r="Q3" i="2"/>
  <c r="Q173" i="2"/>
  <c r="Q209" i="2"/>
  <c r="Q400" i="2"/>
  <c r="Q57" i="2"/>
  <c r="Q346" i="2"/>
  <c r="Q18" i="2"/>
  <c r="Q497" i="2"/>
  <c r="Q84" i="2"/>
  <c r="Q229" i="2"/>
  <c r="Q263" i="2"/>
  <c r="Q284" i="2"/>
  <c r="Q23" i="2"/>
  <c r="Q41" i="2"/>
  <c r="Q107" i="2"/>
  <c r="Q177" i="2"/>
  <c r="Q293" i="2"/>
  <c r="Q53" i="2"/>
  <c r="Q426" i="2"/>
  <c r="Q399" i="2"/>
  <c r="Q90" i="2"/>
  <c r="Q352" i="2"/>
  <c r="Q374" i="2"/>
  <c r="Q219" i="2"/>
  <c r="Q470" i="2"/>
  <c r="Q282" i="2"/>
  <c r="Q89" i="2"/>
  <c r="Q285" i="2"/>
  <c r="Q345" i="2"/>
  <c r="Q459" i="2"/>
  <c r="Q396" i="2"/>
  <c r="Q391" i="2"/>
  <c r="Q119" i="2"/>
  <c r="Q218" i="2"/>
  <c r="Q437" i="2"/>
  <c r="Q373" i="2"/>
  <c r="Q425" i="2"/>
  <c r="Q492" i="2"/>
  <c r="Q124" i="2"/>
  <c r="Q471" i="2"/>
  <c r="Q20" i="2"/>
  <c r="Q27" i="2"/>
  <c r="Q91" i="2"/>
  <c r="Q26" i="2"/>
  <c r="Q349" i="2"/>
  <c r="Q103" i="2"/>
  <c r="Q48" i="2"/>
  <c r="Q306" i="2"/>
  <c r="Q141" i="2"/>
  <c r="Q16" i="2"/>
  <c r="Q50" i="2"/>
  <c r="Q340" i="2"/>
  <c r="Q257" i="2"/>
  <c r="Q272" i="2"/>
  <c r="Q453" i="2"/>
  <c r="Q70" i="2"/>
  <c r="Q10" i="2"/>
  <c r="Q240" i="2"/>
  <c r="Q268" i="2"/>
  <c r="Q147" i="2"/>
  <c r="Q15" i="2"/>
  <c r="Q47" i="2"/>
  <c r="Q34" i="2"/>
  <c r="Q81" i="2"/>
  <c r="Q376" i="2"/>
  <c r="Q389" i="2"/>
  <c r="Q96" i="2"/>
  <c r="Q348" i="2"/>
  <c r="Q499" i="2"/>
  <c r="Q344" i="2"/>
  <c r="Q495" i="2"/>
  <c r="Q438" i="2"/>
  <c r="Q92" i="2"/>
  <c r="Q76" i="2"/>
  <c r="Q246" i="2"/>
  <c r="Q409" i="2"/>
  <c r="Q350" i="2"/>
  <c r="Q365" i="2"/>
  <c r="Q192" i="2"/>
  <c r="Q404" i="2"/>
  <c r="Q253" i="2"/>
  <c r="Q488" i="2"/>
  <c r="Q55" i="2"/>
  <c r="Q259" i="2"/>
  <c r="Q195" i="2"/>
  <c r="Q493" i="2"/>
  <c r="Q462" i="2"/>
  <c r="Q221" i="2"/>
  <c r="Q309" i="2"/>
  <c r="Q97" i="2"/>
  <c r="Q370" i="2"/>
  <c r="Q294" i="2"/>
  <c r="Q200" i="2"/>
  <c r="Q30" i="2"/>
  <c r="Q435" i="2"/>
  <c r="Q489" i="2"/>
  <c r="Q378" i="2"/>
  <c r="Q419" i="2"/>
  <c r="Q180" i="2"/>
  <c r="Q241" i="2"/>
  <c r="Q7" i="2"/>
  <c r="Q231" i="2"/>
  <c r="Q128" i="2"/>
  <c r="Q100" i="2"/>
  <c r="Q457" i="2"/>
  <c r="Q115" i="2"/>
  <c r="Q185" i="2"/>
  <c r="Q168" i="2"/>
  <c r="Q461" i="2"/>
  <c r="Q250" i="2"/>
  <c r="Q303" i="2"/>
  <c r="Q171" i="2"/>
  <c r="Q206" i="2"/>
  <c r="Q249" i="2"/>
  <c r="Q403" i="2"/>
  <c r="Q109" i="2"/>
  <c r="Q152" i="2"/>
  <c r="Q215" i="2"/>
  <c r="Q163" i="2"/>
  <c r="Q359" i="2"/>
  <c r="Q9" i="2"/>
  <c r="Q117" i="2"/>
  <c r="Q479" i="2"/>
  <c r="Q198" i="2"/>
  <c r="Q46" i="2"/>
  <c r="Q24" i="2"/>
  <c r="Q83" i="2"/>
  <c r="Q368" i="2"/>
  <c r="Q202" i="2"/>
  <c r="Q429" i="2"/>
  <c r="Q93" i="2"/>
  <c r="Q388" i="2"/>
  <c r="Q201" i="2"/>
  <c r="Q207" i="2"/>
  <c r="Q232" i="2"/>
  <c r="Q279" i="2"/>
  <c r="Q443" i="2"/>
  <c r="Q464" i="2"/>
  <c r="Q289" i="2"/>
  <c r="Q321" i="2"/>
  <c r="Q111" i="2"/>
  <c r="Q277" i="2"/>
  <c r="Q40" i="2"/>
  <c r="Q167" i="2"/>
  <c r="Q393" i="2"/>
  <c r="Q39" i="2"/>
  <c r="Q36" i="2"/>
  <c r="Q291" i="2"/>
  <c r="Q256" i="2"/>
  <c r="Q390" i="2"/>
  <c r="Q406" i="2"/>
  <c r="Q383" i="2"/>
  <c r="Q38" i="2"/>
  <c r="Q315" i="2"/>
  <c r="Q184" i="2"/>
  <c r="Q139" i="2"/>
  <c r="Q265" i="2"/>
  <c r="Q140" i="2"/>
  <c r="Q118" i="2"/>
  <c r="Q424" i="2"/>
  <c r="Q310" i="2"/>
  <c r="Q165" i="2"/>
  <c r="Q14" i="2"/>
  <c r="Q244" i="2"/>
  <c r="Q334" i="2"/>
  <c r="Q60" i="2"/>
  <c r="Q278" i="2"/>
  <c r="Q182" i="2"/>
  <c r="Q472" i="2"/>
  <c r="Q178" i="2"/>
  <c r="Q469" i="2"/>
  <c r="Q288" i="2"/>
  <c r="Q133" i="2"/>
  <c r="Q114" i="2"/>
  <c r="Q65" i="2"/>
  <c r="Q308" i="2"/>
  <c r="Q205" i="2"/>
  <c r="Q148" i="2"/>
  <c r="Q487" i="2"/>
  <c r="Q164" i="2"/>
  <c r="Q436" i="2"/>
  <c r="Q98" i="2"/>
  <c r="Q333" i="2"/>
  <c r="Q203" i="2"/>
  <c r="Q11" i="2"/>
  <c r="Q401" i="2"/>
  <c r="Q442" i="2"/>
  <c r="Q444" i="2"/>
  <c r="Q356" i="2"/>
  <c r="Q372" i="2"/>
  <c r="Q190" i="2"/>
  <c r="Q258" i="2"/>
  <c r="Q316" i="2"/>
  <c r="Q238" i="2"/>
  <c r="Q247" i="2"/>
  <c r="Q13" i="2"/>
  <c r="Q456" i="2"/>
  <c r="Q233" i="2"/>
  <c r="Q22" i="2"/>
  <c r="Q216" i="2"/>
  <c r="Q112" i="2"/>
  <c r="Q491" i="2"/>
  <c r="Q434" i="2"/>
  <c r="Q343" i="2"/>
  <c r="Q49" i="2"/>
  <c r="Q481" i="2"/>
  <c r="Q336" i="2"/>
  <c r="Q364" i="2"/>
  <c r="Q54" i="2"/>
  <c r="Q384" i="2"/>
  <c r="Q71" i="2"/>
  <c r="Q387" i="2"/>
  <c r="Q360" i="2"/>
  <c r="Q228" i="2"/>
  <c r="Q261" i="2"/>
  <c r="Q480" i="2"/>
  <c r="Q63" i="2"/>
  <c r="Q295" i="2"/>
  <c r="Q179" i="2"/>
  <c r="Q61" i="2"/>
  <c r="Q102" i="2"/>
  <c r="Q287" i="2"/>
  <c r="Q478" i="2"/>
  <c r="Q296" i="2"/>
  <c r="Q101" i="2"/>
  <c r="Q498" i="2"/>
  <c r="Q402" i="2"/>
  <c r="Q150" i="2"/>
  <c r="Q458" i="2"/>
  <c r="Q235" i="2"/>
  <c r="Q329" i="2"/>
  <c r="Q255" i="2"/>
  <c r="Q347" i="2"/>
  <c r="Q474" i="2"/>
  <c r="Q88" i="2"/>
  <c r="Q414" i="2"/>
  <c r="Q131" i="2"/>
  <c r="Q197" i="2"/>
  <c r="Q44" i="2"/>
  <c r="Q286" i="2"/>
  <c r="Q304" i="2"/>
  <c r="Q314" i="2"/>
  <c r="Q33" i="2"/>
  <c r="Q116" i="2"/>
  <c r="Q132" i="2"/>
  <c r="Q468" i="2"/>
  <c r="Q342" i="2"/>
  <c r="Q85" i="2"/>
  <c r="Q367" i="2"/>
  <c r="Q122" i="2"/>
  <c r="Q338" i="2"/>
  <c r="Q467" i="2"/>
  <c r="Q448" i="2"/>
  <c r="Q305" i="2"/>
  <c r="Q381" i="2"/>
  <c r="Q125" i="2"/>
  <c r="Q433" i="2"/>
  <c r="Q353" i="2"/>
  <c r="Q475" i="2"/>
  <c r="Q311" i="2"/>
  <c r="Q154" i="2"/>
  <c r="Q318" i="2"/>
  <c r="Q313" i="2"/>
  <c r="Q341" i="2"/>
  <c r="Q266" i="2"/>
  <c r="Q126" i="2"/>
  <c r="Q226" i="2"/>
  <c r="Q369" i="2"/>
  <c r="Q153" i="2"/>
  <c r="Q94" i="2"/>
  <c r="Q422" i="2"/>
  <c r="Q105" i="2"/>
  <c r="Q421" i="2"/>
  <c r="Q394" i="2"/>
  <c r="Q43" i="2"/>
  <c r="Q366" i="2"/>
  <c r="Q412" i="2"/>
  <c r="Q451" i="2"/>
  <c r="Q225" i="2"/>
  <c r="Q175" i="2"/>
  <c r="Q490" i="2"/>
  <c r="Q398" i="2"/>
  <c r="Q319" i="2"/>
  <c r="Q335" i="2"/>
  <c r="Q395" i="2"/>
  <c r="Q130" i="2"/>
  <c r="Q77" i="2"/>
  <c r="Q160" i="2"/>
  <c r="Q375" i="2"/>
  <c r="Q392" i="2"/>
  <c r="Q274" i="2"/>
  <c r="Q69" i="2"/>
  <c r="Q264" i="2"/>
  <c r="Q234" i="2"/>
  <c r="Q161" i="2"/>
  <c r="Q199" i="2"/>
  <c r="Q138" i="2"/>
  <c r="Q320" i="2"/>
  <c r="Q324" i="2"/>
  <c r="Q312" i="2"/>
  <c r="Q224" i="2"/>
  <c r="Q482" i="2"/>
  <c r="Q155" i="2"/>
  <c r="Q354" i="2"/>
  <c r="Q494" i="2"/>
  <c r="Q146" i="2"/>
  <c r="Q307" i="2"/>
  <c r="Q382" i="2"/>
  <c r="Q486" i="2"/>
  <c r="Q415" i="2"/>
  <c r="Q362" i="2"/>
  <c r="Q397" i="2"/>
  <c r="Q405" i="2"/>
  <c r="Q270" i="2"/>
  <c r="Q413" i="2"/>
  <c r="Q455" i="2"/>
  <c r="Q337" i="2"/>
  <c r="Q245" i="2"/>
  <c r="Q66" i="2"/>
  <c r="Q86" i="2"/>
  <c r="Q262" i="2"/>
  <c r="Q204" i="2"/>
  <c r="Q62" i="2"/>
  <c r="Q208" i="2"/>
  <c r="Q331" i="2"/>
  <c r="Q144" i="2"/>
  <c r="Q12" i="2"/>
  <c r="Q106" i="2"/>
  <c r="Q110" i="2"/>
  <c r="Q326" i="2"/>
  <c r="Q223" i="2"/>
  <c r="Q151" i="2"/>
  <c r="Q159" i="2"/>
  <c r="Q169" i="2"/>
  <c r="Q297" i="2"/>
  <c r="Q186" i="2"/>
  <c r="Q158" i="2"/>
  <c r="Q193" i="2"/>
  <c r="Q242" i="2"/>
  <c r="Q301" i="2"/>
  <c r="Q417" i="2"/>
  <c r="Q276" i="2"/>
  <c r="Q52" i="2"/>
  <c r="Q17" i="2"/>
  <c r="Q252" i="2"/>
  <c r="Q25" i="2"/>
  <c r="Q267" i="2"/>
  <c r="Q332" i="2"/>
  <c r="Q68" i="2"/>
  <c r="Q440" i="2"/>
  <c r="Q500" i="2"/>
  <c r="Q95" i="2"/>
  <c r="Q271" i="2"/>
  <c r="Q363" i="2"/>
  <c r="Q460" i="2"/>
  <c r="Q31" i="2"/>
  <c r="Q358" i="2"/>
  <c r="Q299" i="2"/>
</calcChain>
</file>

<file path=xl/sharedStrings.xml><?xml version="1.0" encoding="utf-8"?>
<sst xmlns="http://schemas.openxmlformats.org/spreadsheetml/2006/main" count="5072" uniqueCount="376">
  <si>
    <t>Order_ID</t>
  </si>
  <si>
    <t>Order_Date</t>
  </si>
  <si>
    <t>Customer_Name</t>
  </si>
  <si>
    <t>Region</t>
  </si>
  <si>
    <t>Product</t>
  </si>
  <si>
    <t>Category</t>
  </si>
  <si>
    <t>Quantity</t>
  </si>
  <si>
    <t>Unit_Price</t>
  </si>
  <si>
    <t>Discount_%</t>
  </si>
  <si>
    <t>Sales</t>
  </si>
  <si>
    <t>Profit</t>
  </si>
  <si>
    <t>2025-08-04</t>
  </si>
  <si>
    <t>Amit</t>
  </si>
  <si>
    <t>North</t>
  </si>
  <si>
    <t>Keyboard</t>
  </si>
  <si>
    <t>Accessories</t>
  </si>
  <si>
    <t>2025-01-01</t>
  </si>
  <si>
    <t>East</t>
  </si>
  <si>
    <t>Chair</t>
  </si>
  <si>
    <t>Furniture</t>
  </si>
  <si>
    <t>2025-03-11</t>
  </si>
  <si>
    <t>Kiran</t>
  </si>
  <si>
    <t>South</t>
  </si>
  <si>
    <t>Monitor</t>
  </si>
  <si>
    <t>Electronics</t>
  </si>
  <si>
    <t>2026-06-13</t>
  </si>
  <si>
    <t>Anjali</t>
  </si>
  <si>
    <t>West</t>
  </si>
  <si>
    <t>Mouse</t>
  </si>
  <si>
    <t>2025-09-02</t>
  </si>
  <si>
    <t>Mrunali</t>
  </si>
  <si>
    <t>2026-02-22</t>
  </si>
  <si>
    <t>Sneha</t>
  </si>
  <si>
    <t>2025-01-27</t>
  </si>
  <si>
    <t>Laptop</t>
  </si>
  <si>
    <t>2025-04-20</t>
  </si>
  <si>
    <t>Vikas</t>
  </si>
  <si>
    <t>2026-06-24</t>
  </si>
  <si>
    <t>2026-06-18</t>
  </si>
  <si>
    <t>Neha</t>
  </si>
  <si>
    <t>2025-11-14</t>
  </si>
  <si>
    <t>Priya</t>
  </si>
  <si>
    <t>2026-05-22</t>
  </si>
  <si>
    <t>Printer</t>
  </si>
  <si>
    <t>2026-05-26</t>
  </si>
  <si>
    <t>Rohan</t>
  </si>
  <si>
    <t>2026-03-04</t>
  </si>
  <si>
    <t>Rahul</t>
  </si>
  <si>
    <t>2025-02-04</t>
  </si>
  <si>
    <t>2025-08-21</t>
  </si>
  <si>
    <t>2026-01-12</t>
  </si>
  <si>
    <t>2025-05-07</t>
  </si>
  <si>
    <t>2025-09-09</t>
  </si>
  <si>
    <t>2026-01-04</t>
  </si>
  <si>
    <t>2025-04-24</t>
  </si>
  <si>
    <t>2025-05-16</t>
  </si>
  <si>
    <t>2025-04-17</t>
  </si>
  <si>
    <t>2025-03-08</t>
  </si>
  <si>
    <t>2025-08-08</t>
  </si>
  <si>
    <t>2025-05-01</t>
  </si>
  <si>
    <t>2025-03-05</t>
  </si>
  <si>
    <t>2025-11-11</t>
  </si>
  <si>
    <t>2025-10-08</t>
  </si>
  <si>
    <t>2025-09-17</t>
  </si>
  <si>
    <t>2025-11-18</t>
  </si>
  <si>
    <t>2026-04-07</t>
  </si>
  <si>
    <t>2025-01-30</t>
  </si>
  <si>
    <t>2025-08-14</t>
  </si>
  <si>
    <t>2025-07-05</t>
  </si>
  <si>
    <t>2025-06-25</t>
  </si>
  <si>
    <t>2025-09-16</t>
  </si>
  <si>
    <t>2025-06-09</t>
  </si>
  <si>
    <t>2026-01-09</t>
  </si>
  <si>
    <t>2026-05-05</t>
  </si>
  <si>
    <t>2026-04-22</t>
  </si>
  <si>
    <t>2026-01-26</t>
  </si>
  <si>
    <t>2025-05-19</t>
  </si>
  <si>
    <t>2025-06-23</t>
  </si>
  <si>
    <t>2025-08-03</t>
  </si>
  <si>
    <t>2026-02-15</t>
  </si>
  <si>
    <t>2025-06-21</t>
  </si>
  <si>
    <t>2025-08-01</t>
  </si>
  <si>
    <t>2026-02-25</t>
  </si>
  <si>
    <t>2025-02-05</t>
  </si>
  <si>
    <t>2025-01-20</t>
  </si>
  <si>
    <t>2025-06-28</t>
  </si>
  <si>
    <t>2025-12-05</t>
  </si>
  <si>
    <t>2025-01-16</t>
  </si>
  <si>
    <t>2026-01-20</t>
  </si>
  <si>
    <t>2026-06-19</t>
  </si>
  <si>
    <t>2025-03-15</t>
  </si>
  <si>
    <t>2025-01-25</t>
  </si>
  <si>
    <t>2025-08-11</t>
  </si>
  <si>
    <t>2026-05-02</t>
  </si>
  <si>
    <t>2026-03-18</t>
  </si>
  <si>
    <t>2025-11-17</t>
  </si>
  <si>
    <t>2025-06-29</t>
  </si>
  <si>
    <t>2025-02-14</t>
  </si>
  <si>
    <t>2025-10-17</t>
  </si>
  <si>
    <t>2025-11-26</t>
  </si>
  <si>
    <t>2026-04-21</t>
  </si>
  <si>
    <t>2025-05-18</t>
  </si>
  <si>
    <t>2025-10-31</t>
  </si>
  <si>
    <t>2025-10-14</t>
  </si>
  <si>
    <t>2026-06-25</t>
  </si>
  <si>
    <t>2025-01-18</t>
  </si>
  <si>
    <t>2026-05-15</t>
  </si>
  <si>
    <t>2025-11-23</t>
  </si>
  <si>
    <t>2025-12-21</t>
  </si>
  <si>
    <t>2026-04-26</t>
  </si>
  <si>
    <t>2025-03-18</t>
  </si>
  <si>
    <t>2025-07-20</t>
  </si>
  <si>
    <t>2025-02-15</t>
  </si>
  <si>
    <t>2025-07-25</t>
  </si>
  <si>
    <t>2025-02-20</t>
  </si>
  <si>
    <t>2025-02-03</t>
  </si>
  <si>
    <t>2026-03-26</t>
  </si>
  <si>
    <t>2025-02-16</t>
  </si>
  <si>
    <t>2025-12-27</t>
  </si>
  <si>
    <t>2026-01-24</t>
  </si>
  <si>
    <t>2025-05-05</t>
  </si>
  <si>
    <t>2025-11-15</t>
  </si>
  <si>
    <t>2025-02-27</t>
  </si>
  <si>
    <t>2025-02-23</t>
  </si>
  <si>
    <t>2026-01-29</t>
  </si>
  <si>
    <t>2025-10-03</t>
  </si>
  <si>
    <t>2025-03-29</t>
  </si>
  <si>
    <t>2025-04-07</t>
  </si>
  <si>
    <t>2025-09-19</t>
  </si>
  <si>
    <t>2026-04-17</t>
  </si>
  <si>
    <t>2026-02-02</t>
  </si>
  <si>
    <t>2026-06-22</t>
  </si>
  <si>
    <t>2026-03-06</t>
  </si>
  <si>
    <t>2026-01-11</t>
  </si>
  <si>
    <t>2025-03-24</t>
  </si>
  <si>
    <t>2026-02-18</t>
  </si>
  <si>
    <t>2026-03-12</t>
  </si>
  <si>
    <t>2026-04-16</t>
  </si>
  <si>
    <t>2026-02-21</t>
  </si>
  <si>
    <t>2026-03-09</t>
  </si>
  <si>
    <t>2026-03-31</t>
  </si>
  <si>
    <t>2025-11-20</t>
  </si>
  <si>
    <t>2025-05-25</t>
  </si>
  <si>
    <t>2025-07-04</t>
  </si>
  <si>
    <t>2025-06-22</t>
  </si>
  <si>
    <t>2025-05-27</t>
  </si>
  <si>
    <t>2026-05-18</t>
  </si>
  <si>
    <t>2025-04-26</t>
  </si>
  <si>
    <t>2025-01-22</t>
  </si>
  <si>
    <t>2026-01-22</t>
  </si>
  <si>
    <t>2025-09-25</t>
  </si>
  <si>
    <t>2025-08-30</t>
  </si>
  <si>
    <t>2026-06-07</t>
  </si>
  <si>
    <t>2025-05-14</t>
  </si>
  <si>
    <t>2025-05-21</t>
  </si>
  <si>
    <t>2025-10-22</t>
  </si>
  <si>
    <t>2025-11-07</t>
  </si>
  <si>
    <t>2026-01-01</t>
  </si>
  <si>
    <t>2026-02-28</t>
  </si>
  <si>
    <t>2025-03-22</t>
  </si>
  <si>
    <t>2025-09-06</t>
  </si>
  <si>
    <t>2025-03-17</t>
  </si>
  <si>
    <t>2025-06-10</t>
  </si>
  <si>
    <t>2025-03-21</t>
  </si>
  <si>
    <t>2026-06-15</t>
  </si>
  <si>
    <t>2026-04-15</t>
  </si>
  <si>
    <t>2025-11-29</t>
  </si>
  <si>
    <t>2026-06-21</t>
  </si>
  <si>
    <t>2025-04-06</t>
  </si>
  <si>
    <t>2026-01-06</t>
  </si>
  <si>
    <t>2025-08-12</t>
  </si>
  <si>
    <t>2025-06-14</t>
  </si>
  <si>
    <t>2025-05-30</t>
  </si>
  <si>
    <t>2026-01-23</t>
  </si>
  <si>
    <t>2026-04-12</t>
  </si>
  <si>
    <t>2025-04-28</t>
  </si>
  <si>
    <t>2025-10-26</t>
  </si>
  <si>
    <t>2026-03-16</t>
  </si>
  <si>
    <t>2025-09-21</t>
  </si>
  <si>
    <t>2025-03-09</t>
  </si>
  <si>
    <t>2025-02-07</t>
  </si>
  <si>
    <t>2026-05-11</t>
  </si>
  <si>
    <t>2025-09-03</t>
  </si>
  <si>
    <t>2026-03-24</t>
  </si>
  <si>
    <t>2025-04-18</t>
  </si>
  <si>
    <t>2025-05-13</t>
  </si>
  <si>
    <t>2026-04-09</t>
  </si>
  <si>
    <t>2026-03-19</t>
  </si>
  <si>
    <t>2025-09-04</t>
  </si>
  <si>
    <t>2025-05-10</t>
  </si>
  <si>
    <t>2026-05-12</t>
  </si>
  <si>
    <t>2025-12-09</t>
  </si>
  <si>
    <t>2026-05-25</t>
  </si>
  <si>
    <t>2025-10-19</t>
  </si>
  <si>
    <t>2026-06-05</t>
  </si>
  <si>
    <t>2025-03-26</t>
  </si>
  <si>
    <t>2026-03-25</t>
  </si>
  <si>
    <t>2026-06-09</t>
  </si>
  <si>
    <t>2026-04-18</t>
  </si>
  <si>
    <t>2026-04-20</t>
  </si>
  <si>
    <t>2025-06-26</t>
  </si>
  <si>
    <t>2025-11-27</t>
  </si>
  <si>
    <t>2025-04-15</t>
  </si>
  <si>
    <t>2025-07-10</t>
  </si>
  <si>
    <t>2026-02-19</t>
  </si>
  <si>
    <t>2026-01-15</t>
  </si>
  <si>
    <t>2025-07-23</t>
  </si>
  <si>
    <t>2025-03-04</t>
  </si>
  <si>
    <t>2026-04-04</t>
  </si>
  <si>
    <t>2025-07-14</t>
  </si>
  <si>
    <t>2025-11-02</t>
  </si>
  <si>
    <t>2026-06-08</t>
  </si>
  <si>
    <t>2025-03-20</t>
  </si>
  <si>
    <t>2025-08-18</t>
  </si>
  <si>
    <t>2025-05-28</t>
  </si>
  <si>
    <t>2025-02-12</t>
  </si>
  <si>
    <t>2026-05-04</t>
  </si>
  <si>
    <t>2026-04-29</t>
  </si>
  <si>
    <t>2025-11-05</t>
  </si>
  <si>
    <t>2025-02-09</t>
  </si>
  <si>
    <t>2026-05-01</t>
  </si>
  <si>
    <t>2025-07-02</t>
  </si>
  <si>
    <t>2025-12-25</t>
  </si>
  <si>
    <t>2025-06-04</t>
  </si>
  <si>
    <t>2026-05-31</t>
  </si>
  <si>
    <t>2025-02-26</t>
  </si>
  <si>
    <t>2025-09-01</t>
  </si>
  <si>
    <t>2025-08-06</t>
  </si>
  <si>
    <t>2026-01-18</t>
  </si>
  <si>
    <t>2026-01-08</t>
  </si>
  <si>
    <t>2025-04-10</t>
  </si>
  <si>
    <t>2026-03-22</t>
  </si>
  <si>
    <t>2026-05-14</t>
  </si>
  <si>
    <t>2025-07-21</t>
  </si>
  <si>
    <t>2025-04-03</t>
  </si>
  <si>
    <t>2025-02-17</t>
  </si>
  <si>
    <t>2026-01-17</t>
  </si>
  <si>
    <t>2025-04-01</t>
  </si>
  <si>
    <t>2026-06-06</t>
  </si>
  <si>
    <t>2025-09-24</t>
  </si>
  <si>
    <t>2026-01-10</t>
  </si>
  <si>
    <t>2025-08-26</t>
  </si>
  <si>
    <t>2026-02-12</t>
  </si>
  <si>
    <t>2025-06-30</t>
  </si>
  <si>
    <t>2025-02-10</t>
  </si>
  <si>
    <t>2025-08-27</t>
  </si>
  <si>
    <t>2025-02-24</t>
  </si>
  <si>
    <t>2025-11-21</t>
  </si>
  <si>
    <t>2025-12-01</t>
  </si>
  <si>
    <t>2025-09-12</t>
  </si>
  <si>
    <t>2026-02-09</t>
  </si>
  <si>
    <t>2025-12-07</t>
  </si>
  <si>
    <t>2026-04-14</t>
  </si>
  <si>
    <t>2025-02-06</t>
  </si>
  <si>
    <t>2025-02-25</t>
  </si>
  <si>
    <t>2025-02-08</t>
  </si>
  <si>
    <t>2025-06-27</t>
  </si>
  <si>
    <t>2025-11-10</t>
  </si>
  <si>
    <t>2026-06-16</t>
  </si>
  <si>
    <t>2025-09-18</t>
  </si>
  <si>
    <t>2026-04-11</t>
  </si>
  <si>
    <t>2025-10-21</t>
  </si>
  <si>
    <t>2026-01-13</t>
  </si>
  <si>
    <t>2025-09-05</t>
  </si>
  <si>
    <t>2025-12-19</t>
  </si>
  <si>
    <t>2025-08-10</t>
  </si>
  <si>
    <t>2025-10-16</t>
  </si>
  <si>
    <t>2025-02-01</t>
  </si>
  <si>
    <t>2026-01-25</t>
  </si>
  <si>
    <t>2025-07-22</t>
  </si>
  <si>
    <t>2025-01-06</t>
  </si>
  <si>
    <t>2025-10-11</t>
  </si>
  <si>
    <t>2025-05-12</t>
  </si>
  <si>
    <t>2026-04-03</t>
  </si>
  <si>
    <t>2025-12-14</t>
  </si>
  <si>
    <t>2025-06-13</t>
  </si>
  <si>
    <t>2025-07-24</t>
  </si>
  <si>
    <t>2025-07-28</t>
  </si>
  <si>
    <t>2025-06-20</t>
  </si>
  <si>
    <t>2025-09-30</t>
  </si>
  <si>
    <t>2026-02-08</t>
  </si>
  <si>
    <t>2025-04-08</t>
  </si>
  <si>
    <t>2026-01-16</t>
  </si>
  <si>
    <t>2025-12-20</t>
  </si>
  <si>
    <t>2025-06-07</t>
  </si>
  <si>
    <t>2026-05-29</t>
  </si>
  <si>
    <t>2025-04-30</t>
  </si>
  <si>
    <t>2025-05-02</t>
  </si>
  <si>
    <t>2025-07-07</t>
  </si>
  <si>
    <t>2025-03-28</t>
  </si>
  <si>
    <t>2025-05-04</t>
  </si>
  <si>
    <t>2026-01-27</t>
  </si>
  <si>
    <t>2025-01-15</t>
  </si>
  <si>
    <t>2025-12-13</t>
  </si>
  <si>
    <t>2025-11-12</t>
  </si>
  <si>
    <t>2026-03-08</t>
  </si>
  <si>
    <t>2025-07-12</t>
  </si>
  <si>
    <t>2026-03-14</t>
  </si>
  <si>
    <t>2025-03-19</t>
  </si>
  <si>
    <t>2025-03-10</t>
  </si>
  <si>
    <t>2025-03-31</t>
  </si>
  <si>
    <t>2025-01-05</t>
  </si>
  <si>
    <t>2025-01-09</t>
  </si>
  <si>
    <t>2025-12-15</t>
  </si>
  <si>
    <t>2025-03-07</t>
  </si>
  <si>
    <t>2025-09-13</t>
  </si>
  <si>
    <t>2025-06-18</t>
  </si>
  <si>
    <t>2026-03-02</t>
  </si>
  <si>
    <t>2025-06-08</t>
  </si>
  <si>
    <t>2026-06-01</t>
  </si>
  <si>
    <t>2025-04-11</t>
  </si>
  <si>
    <t>2025-10-07</t>
  </si>
  <si>
    <t>2025-09-28</t>
  </si>
  <si>
    <t>2025-07-11</t>
  </si>
  <si>
    <t>2026-02-06</t>
  </si>
  <si>
    <t>2025-04-22</t>
  </si>
  <si>
    <t>2026-04-23</t>
  </si>
  <si>
    <t>2025-07-26</t>
  </si>
  <si>
    <t>2025-11-01</t>
  </si>
  <si>
    <t>2025-07-03</t>
  </si>
  <si>
    <t>2026-01-21</t>
  </si>
  <si>
    <t>2025-08-22</t>
  </si>
  <si>
    <t>2025-07-08</t>
  </si>
  <si>
    <t>2025-08-20</t>
  </si>
  <si>
    <t>2025-09-27</t>
  </si>
  <si>
    <t>2025-05-03</t>
  </si>
  <si>
    <t>2025-02-02</t>
  </si>
  <si>
    <t>2025-05-22</t>
  </si>
  <si>
    <t>2026-04-30</t>
  </si>
  <si>
    <t>2026-04-08</t>
  </si>
  <si>
    <t>2025-10-15</t>
  </si>
  <si>
    <t>2025-01-11</t>
  </si>
  <si>
    <t>2025-02-19</t>
  </si>
  <si>
    <t>2025-07-18</t>
  </si>
  <si>
    <t>2025-05-26</t>
  </si>
  <si>
    <t>2025-12-17</t>
  </si>
  <si>
    <t>2025-10-25</t>
  </si>
  <si>
    <t>2025-02-18</t>
  </si>
  <si>
    <t>2026-05-17</t>
  </si>
  <si>
    <t>2026-03-11</t>
  </si>
  <si>
    <t>2026-04-27</t>
  </si>
  <si>
    <t>2026-05-23</t>
  </si>
  <si>
    <t>2025-05-11</t>
  </si>
  <si>
    <t>2025-04-14</t>
  </si>
  <si>
    <t>2026-05-20</t>
  </si>
  <si>
    <t>2025-08-16</t>
  </si>
  <si>
    <t>2025-01-24</t>
  </si>
  <si>
    <t>Profit Category</t>
  </si>
  <si>
    <t>Year</t>
  </si>
  <si>
    <t>Month</t>
  </si>
  <si>
    <t>Sales Category</t>
  </si>
  <si>
    <t>Discount Amount</t>
  </si>
  <si>
    <t>Net Sales</t>
  </si>
  <si>
    <t>Summary Table</t>
  </si>
  <si>
    <t>Total Sales</t>
  </si>
  <si>
    <t>Total Profit</t>
  </si>
  <si>
    <t>Total Orders</t>
  </si>
  <si>
    <t>Average Sales</t>
  </si>
  <si>
    <t>Metrics</t>
  </si>
  <si>
    <t>Row Labels</t>
  </si>
  <si>
    <t>Grand Total</t>
  </si>
  <si>
    <t>Sum of Sales</t>
  </si>
  <si>
    <t>Sum of Profit</t>
  </si>
  <si>
    <t>January</t>
  </si>
  <si>
    <t>February</t>
  </si>
  <si>
    <t>March</t>
  </si>
  <si>
    <t>April</t>
  </si>
  <si>
    <t>May</t>
  </si>
  <si>
    <t>June</t>
  </si>
  <si>
    <t>July</t>
  </si>
  <si>
    <t>August</t>
  </si>
  <si>
    <t>September</t>
  </si>
  <si>
    <t>October</t>
  </si>
  <si>
    <t>November</t>
  </si>
  <si>
    <t>December</t>
  </si>
  <si>
    <t>Sum of Quantity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</si>
</sst>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
    <xf numFmtId="0" fontId="0" fillId="0" borderId="0" xfId="0"/>
    <xf numFmtId="0" fontId="0" fillId="0" borderId="1" xfId="0" applyBorder="1"/>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pivotButton="1"/>
    <xf numFmtId="0" fontId="0" fillId="0" borderId="0" xfId="0" applyAlignment="1">
      <alignment horizontal="left"/>
    </xf>
    <xf numFmtId="0" fontId="0" fillId="0" borderId="0" xfId="0" applyNumberFormat="1"/>
    <xf numFmtId="0" fontId="2" fillId="0" borderId="4" xfId="0" applyFont="1" applyBorder="1"/>
    <xf numFmtId="0" fontId="3" fillId="0" borderId="4" xfId="0" applyFont="1" applyBorder="1"/>
  </cellXfs>
  <cellStyles count="1">
    <cellStyle name="Normal" xfId="0" builtinId="0"/>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[Excel_Sales_Dataset.xlsx]Sum_Of_Sales!PivotTable1</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Sum_Of_Sales!$B$3</c:f>
              <c:strCache>
                <c:ptCount val="1"/>
                <c:pt idx="0">
                  <c:v>Total</c:v>
                </c:pt>
              </c:strCache>
            </c:strRef>
          </c:tx>
          <c:invertIfNegative val="0"/>
          <c:cat>
            <c:strRef>
              <c:f>Sum_Of_Sales!$A$4:$A$5</c:f>
              <c:strCache>
                <c:ptCount val="1"/>
                <c:pt idx="0">
                  <c:v>East</c:v>
                </c:pt>
              </c:strCache>
            </c:strRef>
          </c:cat>
          <c:val>
            <c:numRef>
              <c:f>Sum_Of_Sales!$B$4:$B$5</c:f>
              <c:numCache>
                <c:formatCode>General</c:formatCode>
                <c:ptCount val="1"/>
                <c:pt idx="0">
                  <c:v>6419045</c:v>
                </c:pt>
              </c:numCache>
            </c:numRef>
          </c:val>
        </c:ser>
        <c:dLbls>
          <c:showLegendKey val="0"/>
          <c:showVal val="0"/>
          <c:showCatName val="0"/>
          <c:showSerName val="0"/>
          <c:showPercent val="0"/>
          <c:showBubbleSize val="0"/>
        </c:dLbls>
        <c:gapWidth val="150"/>
        <c:axId val="196444928"/>
        <c:axId val="196446464"/>
      </c:barChart>
      <c:catAx>
        <c:axId val="196444928"/>
        <c:scaling>
          <c:orientation val="minMax"/>
        </c:scaling>
        <c:delete val="0"/>
        <c:axPos val="b"/>
        <c:majorTickMark val="out"/>
        <c:minorTickMark val="none"/>
        <c:tickLblPos val="nextTo"/>
        <c:crossAx val="196446464"/>
        <c:crosses val="autoZero"/>
        <c:auto val="1"/>
        <c:lblAlgn val="ctr"/>
        <c:lblOffset val="100"/>
        <c:noMultiLvlLbl val="0"/>
      </c:catAx>
      <c:valAx>
        <c:axId val="196446464"/>
        <c:scaling>
          <c:orientation val="minMax"/>
        </c:scaling>
        <c:delete val="0"/>
        <c:axPos val="l"/>
        <c:majorGridlines/>
        <c:numFmt formatCode="General" sourceLinked="1"/>
        <c:majorTickMark val="out"/>
        <c:minorTickMark val="none"/>
        <c:tickLblPos val="nextTo"/>
        <c:crossAx val="1964449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[Excel_Sales_Dataset.xlsx]Sum_Of_Sales!PivotTable1</c:name>
    <c:fmtId val="2"/>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Sum_Of_Sales!$B$3</c:f>
              <c:strCache>
                <c:ptCount val="1"/>
                <c:pt idx="0">
                  <c:v>Total</c:v>
                </c:pt>
              </c:strCache>
            </c:strRef>
          </c:tx>
          <c:invertIfNegative val="0"/>
          <c:cat>
            <c:strRef>
              <c:f>Sum_Of_Sales!$A$4:$A$5</c:f>
              <c:strCache>
                <c:ptCount val="1"/>
                <c:pt idx="0">
                  <c:v>East</c:v>
                </c:pt>
              </c:strCache>
            </c:strRef>
          </c:cat>
          <c:val>
            <c:numRef>
              <c:f>Sum_Of_Sales!$B$4:$B$5</c:f>
              <c:numCache>
                <c:formatCode>General</c:formatCode>
                <c:ptCount val="1"/>
                <c:pt idx="0">
                  <c:v>6419045</c:v>
                </c:pt>
              </c:numCache>
            </c:numRef>
          </c:val>
        </c:ser>
        <c:dLbls>
          <c:showLegendKey val="0"/>
          <c:showVal val="0"/>
          <c:showCatName val="0"/>
          <c:showSerName val="0"/>
          <c:showPercent val="0"/>
          <c:showBubbleSize val="0"/>
        </c:dLbls>
        <c:gapWidth val="150"/>
        <c:axId val="327854336"/>
        <c:axId val="327983104"/>
      </c:barChart>
      <c:catAx>
        <c:axId val="327854336"/>
        <c:scaling>
          <c:orientation val="minMax"/>
        </c:scaling>
        <c:delete val="0"/>
        <c:axPos val="b"/>
        <c:majorTickMark val="out"/>
        <c:minorTickMark val="none"/>
        <c:tickLblPos val="nextTo"/>
        <c:crossAx val="327983104"/>
        <c:crosses val="autoZero"/>
        <c:auto val="1"/>
        <c:lblAlgn val="ctr"/>
        <c:lblOffset val="100"/>
        <c:noMultiLvlLbl val="0"/>
      </c:catAx>
      <c:valAx>
        <c:axId val="327983104"/>
        <c:scaling>
          <c:orientation val="minMax"/>
        </c:scaling>
        <c:delete val="0"/>
        <c:axPos val="l"/>
        <c:majorGridlines/>
        <c:numFmt formatCode="General" sourceLinked="1"/>
        <c:majorTickMark val="out"/>
        <c:minorTickMark val="none"/>
        <c:tickLblPos val="nextTo"/>
        <c:crossAx val="3278543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[Excel_Sales_Dataset.xlsx]Sum_Of_Sales!PivotTable1</c:name>
    <c:fmtId val="5"/>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Sum_Of_Sales!$B$3</c:f>
              <c:strCache>
                <c:ptCount val="1"/>
                <c:pt idx="0">
                  <c:v>Total</c:v>
                </c:pt>
              </c:strCache>
            </c:strRef>
          </c:tx>
          <c:invertIfNegative val="0"/>
          <c:cat>
            <c:strRef>
              <c:f>Sum_Of_Sales!$A$4:$A$5</c:f>
              <c:strCache>
                <c:ptCount val="1"/>
                <c:pt idx="0">
                  <c:v>East</c:v>
                </c:pt>
              </c:strCache>
            </c:strRef>
          </c:cat>
          <c:val>
            <c:numRef>
              <c:f>Sum_Of_Sales!$B$4:$B$5</c:f>
              <c:numCache>
                <c:formatCode>General</c:formatCode>
                <c:ptCount val="1"/>
                <c:pt idx="0">
                  <c:v>6419045</c:v>
                </c:pt>
              </c:numCache>
            </c:numRef>
          </c:val>
        </c:ser>
        <c:dLbls>
          <c:showLegendKey val="0"/>
          <c:showVal val="0"/>
          <c:showCatName val="0"/>
          <c:showSerName val="0"/>
          <c:showPercent val="0"/>
          <c:showBubbleSize val="0"/>
        </c:dLbls>
        <c:gapWidth val="150"/>
        <c:axId val="334084352"/>
        <c:axId val="334094336"/>
      </c:barChart>
      <c:catAx>
        <c:axId val="334084352"/>
        <c:scaling>
          <c:orientation val="minMax"/>
        </c:scaling>
        <c:delete val="0"/>
        <c:axPos val="l"/>
        <c:majorTickMark val="out"/>
        <c:minorTickMark val="none"/>
        <c:tickLblPos val="nextTo"/>
        <c:crossAx val="334094336"/>
        <c:crosses val="autoZero"/>
        <c:auto val="1"/>
        <c:lblAlgn val="ctr"/>
        <c:lblOffset val="100"/>
        <c:noMultiLvlLbl val="0"/>
      </c:catAx>
      <c:valAx>
        <c:axId val="334094336"/>
        <c:scaling>
          <c:orientation val="minMax"/>
        </c:scaling>
        <c:delete val="0"/>
        <c:axPos val="b"/>
        <c:majorGridlines/>
        <c:numFmt formatCode="General" sourceLinked="1"/>
        <c:majorTickMark val="out"/>
        <c:minorTickMark val="none"/>
        <c:tickLblPos val="nextTo"/>
        <c:crossAx val="3340843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[Excel_Sales_Dataset.xlsx]Profit by Product!PivotTable2</c:name>
    <c:fmtId val="0"/>
  </c:pivotSource>
  <c:chart>
    <c:title>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'Profit by Product'!$B$3</c:f>
              <c:strCache>
                <c:ptCount val="1"/>
                <c:pt idx="0">
                  <c:v>Total</c:v>
                </c:pt>
              </c:strCache>
            </c:strRef>
          </c:tx>
          <c:invertIfNegative val="0"/>
          <c:cat>
            <c:strRef>
              <c:f>'Profit by Product'!$A$4:$A$10</c:f>
              <c:strCache>
                <c:ptCount val="6"/>
                <c:pt idx="0">
                  <c:v>Chair</c:v>
                </c:pt>
                <c:pt idx="1">
                  <c:v>Keyboard</c:v>
                </c:pt>
                <c:pt idx="2">
                  <c:v>Laptop</c:v>
                </c:pt>
                <c:pt idx="3">
                  <c:v>Monitor</c:v>
                </c:pt>
                <c:pt idx="4">
                  <c:v>Mouse</c:v>
                </c:pt>
                <c:pt idx="5">
                  <c:v>Printer</c:v>
                </c:pt>
              </c:strCache>
            </c:strRef>
          </c:cat>
          <c:val>
            <c:numRef>
              <c:f>'Profit by Product'!$B$4:$B$10</c:f>
              <c:numCache>
                <c:formatCode>General</c:formatCode>
                <c:ptCount val="6"/>
                <c:pt idx="0">
                  <c:v>145033.30000000002</c:v>
                </c:pt>
                <c:pt idx="1">
                  <c:v>31699.090000000004</c:v>
                </c:pt>
                <c:pt idx="2">
                  <c:v>523103.38</c:v>
                </c:pt>
                <c:pt idx="3">
                  <c:v>141344.25</c:v>
                </c:pt>
                <c:pt idx="4">
                  <c:v>11418.900000000001</c:v>
                </c:pt>
                <c:pt idx="5">
                  <c:v>137793.49</c:v>
                </c:pt>
              </c:numCache>
            </c:numRef>
          </c:val>
        </c:ser>
        <c:dLbls>
          <c:showLegendKey val="0"/>
          <c:showVal val="0"/>
          <c:showCatName val="0"/>
          <c:showSerName val="0"/>
          <c:showPercent val="0"/>
          <c:showBubbleSize val="0"/>
        </c:dLbls>
        <c:gapWidth val="150"/>
        <c:shape val="box"/>
        <c:axId val="279482368"/>
        <c:axId val="279483904"/>
        <c:axId val="0"/>
      </c:bar3DChart>
      <c:catAx>
        <c:axId val="279482368"/>
        <c:scaling>
          <c:orientation val="minMax"/>
        </c:scaling>
        <c:delete val="0"/>
        <c:axPos val="l"/>
        <c:majorTickMark val="out"/>
        <c:minorTickMark val="none"/>
        <c:tickLblPos val="nextTo"/>
        <c:crossAx val="279483904"/>
        <c:crosses val="autoZero"/>
        <c:auto val="1"/>
        <c:lblAlgn val="ctr"/>
        <c:lblOffset val="100"/>
        <c:noMultiLvlLbl val="0"/>
      </c:catAx>
      <c:valAx>
        <c:axId val="279483904"/>
        <c:scaling>
          <c:orientation val="minMax"/>
        </c:scaling>
        <c:delete val="0"/>
        <c:axPos val="b"/>
        <c:majorGridlines/>
        <c:numFmt formatCode="General" sourceLinked="1"/>
        <c:majorTickMark val="out"/>
        <c:minorTickMark val="none"/>
        <c:tickLblPos val="nextTo"/>
        <c:crossAx val="2794823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[Excel_Sales_Dataset.xlsx]Monthly Sales!PivotTable3</c:name>
    <c:fmtId val="0"/>
  </c:pivotSource>
  <c:chart>
    <c:title>
      <c:layout/>
      <c:overlay val="0"/>
    </c:title>
    <c:autoTitleDeleted val="0"/>
    <c:pivotFmts>
      <c:pivotFmt>
        <c:idx val="0"/>
      </c:pivotFmt>
    </c:pivotFmts>
    <c:plotArea>
      <c:layout/>
      <c:lineChart>
        <c:grouping val="standard"/>
        <c:varyColors val="0"/>
        <c:ser>
          <c:idx val="0"/>
          <c:order val="0"/>
          <c:tx>
            <c:strRef>
              <c:f>'Monthly Sales'!$B$3</c:f>
              <c:strCache>
                <c:ptCount val="1"/>
                <c:pt idx="0">
                  <c:v>Total</c:v>
                </c:pt>
              </c:strCache>
            </c:strRef>
          </c:tx>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688650</c:v>
                </c:pt>
                <c:pt idx="1">
                  <c:v>1175160</c:v>
                </c:pt>
                <c:pt idx="2">
                  <c:v>1022710</c:v>
                </c:pt>
                <c:pt idx="3">
                  <c:v>127215</c:v>
                </c:pt>
                <c:pt idx="4">
                  <c:v>1007600</c:v>
                </c:pt>
                <c:pt idx="5">
                  <c:v>55410</c:v>
                </c:pt>
                <c:pt idx="6">
                  <c:v>342650</c:v>
                </c:pt>
                <c:pt idx="7">
                  <c:v>454000</c:v>
                </c:pt>
                <c:pt idx="8">
                  <c:v>249040</c:v>
                </c:pt>
                <c:pt idx="9">
                  <c:v>73920</c:v>
                </c:pt>
                <c:pt idx="10">
                  <c:v>651800</c:v>
                </c:pt>
                <c:pt idx="11">
                  <c:v>570890</c:v>
                </c:pt>
              </c:numCache>
            </c:numRef>
          </c:val>
          <c:smooth val="0"/>
        </c:ser>
        <c:dLbls>
          <c:showLegendKey val="0"/>
          <c:showVal val="0"/>
          <c:showCatName val="0"/>
          <c:showSerName val="0"/>
          <c:showPercent val="0"/>
          <c:showBubbleSize val="0"/>
        </c:dLbls>
        <c:marker val="1"/>
        <c:smooth val="0"/>
        <c:axId val="211477632"/>
        <c:axId val="211479168"/>
      </c:lineChart>
      <c:catAx>
        <c:axId val="211477632"/>
        <c:scaling>
          <c:orientation val="minMax"/>
        </c:scaling>
        <c:delete val="0"/>
        <c:axPos val="b"/>
        <c:majorTickMark val="out"/>
        <c:minorTickMark val="none"/>
        <c:tickLblPos val="nextTo"/>
        <c:crossAx val="211479168"/>
        <c:crosses val="autoZero"/>
        <c:auto val="1"/>
        <c:lblAlgn val="ctr"/>
        <c:lblOffset val="100"/>
        <c:noMultiLvlLbl val="0"/>
      </c:catAx>
      <c:valAx>
        <c:axId val="211479168"/>
        <c:scaling>
          <c:orientation val="minMax"/>
        </c:scaling>
        <c:delete val="0"/>
        <c:axPos val="l"/>
        <c:majorGridlines/>
        <c:numFmt formatCode="General" sourceLinked="1"/>
        <c:majorTickMark val="out"/>
        <c:minorTickMark val="none"/>
        <c:tickLblPos val="nextTo"/>
        <c:crossAx val="2114776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[Excel_Sales_Dataset.xlsx]Monthly Sales!PivotTable3</c:name>
    <c:fmtId val="1"/>
  </c:pivotSource>
  <c:chart>
    <c:title>
      <c:layout/>
      <c:overlay val="0"/>
    </c:title>
    <c:autoTitleDeleted val="0"/>
    <c:pivotFmts>
      <c:pivotFmt>
        <c:idx val="0"/>
        <c:marker>
          <c:symbol val="none"/>
        </c:marker>
      </c:pivotFmt>
    </c:pivotFmts>
    <c:plotArea>
      <c:layout/>
      <c:lineChart>
        <c:grouping val="standard"/>
        <c:varyColors val="0"/>
        <c:ser>
          <c:idx val="0"/>
          <c:order val="0"/>
          <c:tx>
            <c:strRef>
              <c:f>'Monthly Sales'!$B$3</c:f>
              <c:strCache>
                <c:ptCount val="1"/>
                <c:pt idx="0">
                  <c:v>Total</c:v>
                </c:pt>
              </c:strCache>
            </c:strRef>
          </c:tx>
          <c:marker>
            <c:symbol val="none"/>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688650</c:v>
                </c:pt>
                <c:pt idx="1">
                  <c:v>1175160</c:v>
                </c:pt>
                <c:pt idx="2">
                  <c:v>1022710</c:v>
                </c:pt>
                <c:pt idx="3">
                  <c:v>127215</c:v>
                </c:pt>
                <c:pt idx="4">
                  <c:v>1007600</c:v>
                </c:pt>
                <c:pt idx="5">
                  <c:v>55410</c:v>
                </c:pt>
                <c:pt idx="6">
                  <c:v>342650</c:v>
                </c:pt>
                <c:pt idx="7">
                  <c:v>454000</c:v>
                </c:pt>
                <c:pt idx="8">
                  <c:v>249040</c:v>
                </c:pt>
                <c:pt idx="9">
                  <c:v>73920</c:v>
                </c:pt>
                <c:pt idx="10">
                  <c:v>651800</c:v>
                </c:pt>
                <c:pt idx="11">
                  <c:v>570890</c:v>
                </c:pt>
              </c:numCache>
            </c:numRef>
          </c:val>
          <c:smooth val="0"/>
        </c:ser>
        <c:dLbls>
          <c:showLegendKey val="0"/>
          <c:showVal val="0"/>
          <c:showCatName val="0"/>
          <c:showSerName val="0"/>
          <c:showPercent val="0"/>
          <c:showBubbleSize val="0"/>
        </c:dLbls>
        <c:marker val="1"/>
        <c:smooth val="0"/>
        <c:axId val="277875712"/>
        <c:axId val="277877504"/>
      </c:lineChart>
      <c:catAx>
        <c:axId val="277875712"/>
        <c:scaling>
          <c:orientation val="minMax"/>
        </c:scaling>
        <c:delete val="0"/>
        <c:axPos val="b"/>
        <c:majorTickMark val="out"/>
        <c:minorTickMark val="none"/>
        <c:tickLblPos val="nextTo"/>
        <c:crossAx val="277877504"/>
        <c:crosses val="autoZero"/>
        <c:auto val="1"/>
        <c:lblAlgn val="ctr"/>
        <c:lblOffset val="100"/>
        <c:noMultiLvlLbl val="0"/>
      </c:catAx>
      <c:valAx>
        <c:axId val="277877504"/>
        <c:scaling>
          <c:orientation val="minMax"/>
        </c:scaling>
        <c:delete val="0"/>
        <c:axPos val="l"/>
        <c:majorGridlines/>
        <c:numFmt formatCode="General" sourceLinked="1"/>
        <c:majorTickMark val="out"/>
        <c:minorTickMark val="none"/>
        <c:tickLblPos val="nextTo"/>
        <c:crossAx val="2778757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[Excel_Sales_Dataset.xlsx]Monthly Sales!PivotTable3</c:name>
    <c:fmtId val="4"/>
  </c:pivotSource>
  <c:chart>
    <c:title>
      <c:layout/>
      <c:overlay val="0"/>
    </c:title>
    <c:autoTitleDeleted val="0"/>
    <c:pivotFmts>
      <c:pivotFmt>
        <c:idx val="0"/>
        <c:marker>
          <c:symbol val="none"/>
        </c:marker>
      </c:pivotFmt>
    </c:pivotFmts>
    <c:plotArea>
      <c:layout/>
      <c:pieChart>
        <c:varyColors val="1"/>
        <c:ser>
          <c:idx val="0"/>
          <c:order val="0"/>
          <c:tx>
            <c:strRef>
              <c:f>'Monthly Sales'!$B$3</c:f>
              <c:strCache>
                <c:ptCount val="1"/>
                <c:pt idx="0">
                  <c:v>Total</c:v>
                </c:pt>
              </c:strCache>
            </c:strRef>
          </c:tx>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688650</c:v>
                </c:pt>
                <c:pt idx="1">
                  <c:v>1175160</c:v>
                </c:pt>
                <c:pt idx="2">
                  <c:v>1022710</c:v>
                </c:pt>
                <c:pt idx="3">
                  <c:v>127215</c:v>
                </c:pt>
                <c:pt idx="4">
                  <c:v>1007600</c:v>
                </c:pt>
                <c:pt idx="5">
                  <c:v>55410</c:v>
                </c:pt>
                <c:pt idx="6">
                  <c:v>342650</c:v>
                </c:pt>
                <c:pt idx="7">
                  <c:v>454000</c:v>
                </c:pt>
                <c:pt idx="8">
                  <c:v>249040</c:v>
                </c:pt>
                <c:pt idx="9">
                  <c:v>73920</c:v>
                </c:pt>
                <c:pt idx="10">
                  <c:v>651800</c:v>
                </c:pt>
                <c:pt idx="11">
                  <c:v>570890</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[Excel_Sales_Dataset.xlsx]Quantity by Category!PivotTable4</c:name>
    <c:fmtId val="0"/>
  </c:pivotSource>
  <c:chart>
    <c:title>
      <c:layout/>
      <c:overlay val="0"/>
    </c:title>
    <c:autoTitleDeleted val="0"/>
    <c:pivotFmts>
      <c:pivotFmt>
        <c:idx val="0"/>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'Quantity by Category'!$B$3</c:f>
              <c:strCache>
                <c:ptCount val="1"/>
                <c:pt idx="0">
                  <c:v>Total</c:v>
                </c:pt>
              </c:strCache>
            </c:strRef>
          </c:tx>
          <c:cat>
            <c:strRef>
              <c:f>'Quantity by Category'!$A$4:$A$7</c:f>
              <c:strCache>
                <c:ptCount val="3"/>
                <c:pt idx="0">
                  <c:v>Accessories</c:v>
                </c:pt>
                <c:pt idx="1">
                  <c:v>Electronics</c:v>
                </c:pt>
                <c:pt idx="2">
                  <c:v>Furniture</c:v>
                </c:pt>
              </c:strCache>
            </c:strRef>
          </c:cat>
          <c:val>
            <c:numRef>
              <c:f>'Quantity by Category'!$B$4:$B$7</c:f>
              <c:numCache>
                <c:formatCode>General</c:formatCode>
                <c:ptCount val="3"/>
                <c:pt idx="0">
                  <c:v>215</c:v>
                </c:pt>
                <c:pt idx="1">
                  <c:v>274</c:v>
                </c:pt>
                <c:pt idx="2">
                  <c:v>130</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[Excel_Sales_Dataset.xlsx]Sum_Of_Sales!PivotTable1</c:name>
    <c:fmtId val="4"/>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Sum_Of_Sales!$B$3</c:f>
              <c:strCache>
                <c:ptCount val="1"/>
                <c:pt idx="0">
                  <c:v>Total</c:v>
                </c:pt>
              </c:strCache>
            </c:strRef>
          </c:tx>
          <c:invertIfNegative val="0"/>
          <c:cat>
            <c:strRef>
              <c:f>Sum_Of_Sales!$A$4:$A$5</c:f>
              <c:strCache>
                <c:ptCount val="1"/>
                <c:pt idx="0">
                  <c:v>East</c:v>
                </c:pt>
              </c:strCache>
            </c:strRef>
          </c:cat>
          <c:val>
            <c:numRef>
              <c:f>Sum_Of_Sales!$B$4:$B$5</c:f>
              <c:numCache>
                <c:formatCode>General</c:formatCode>
                <c:ptCount val="1"/>
                <c:pt idx="0">
                  <c:v>6419045</c:v>
                </c:pt>
              </c:numCache>
            </c:numRef>
          </c:val>
        </c:ser>
        <c:dLbls>
          <c:showLegendKey val="0"/>
          <c:showVal val="0"/>
          <c:showCatName val="0"/>
          <c:showSerName val="0"/>
          <c:showPercent val="0"/>
          <c:showBubbleSize val="0"/>
        </c:dLbls>
        <c:gapWidth val="150"/>
        <c:axId val="196380160"/>
        <c:axId val="199349376"/>
      </c:barChart>
      <c:catAx>
        <c:axId val="196380160"/>
        <c:scaling>
          <c:orientation val="minMax"/>
        </c:scaling>
        <c:delete val="0"/>
        <c:axPos val="b"/>
        <c:majorTickMark val="out"/>
        <c:minorTickMark val="none"/>
        <c:tickLblPos val="nextTo"/>
        <c:crossAx val="199349376"/>
        <c:crosses val="autoZero"/>
        <c:auto val="1"/>
        <c:lblAlgn val="ctr"/>
        <c:lblOffset val="100"/>
        <c:noMultiLvlLbl val="0"/>
      </c:catAx>
      <c:valAx>
        <c:axId val="199349376"/>
        <c:scaling>
          <c:orientation val="minMax"/>
        </c:scaling>
        <c:delete val="0"/>
        <c:axPos val="l"/>
        <c:majorGridlines/>
        <c:numFmt formatCode="General" sourceLinked="1"/>
        <c:majorTickMark val="out"/>
        <c:minorTickMark val="none"/>
        <c:tickLblPos val="nextTo"/>
        <c:crossAx val="1963801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[Excel_Sales_Dataset.xlsx]Sum_Of_Sales!PivotTable1</c:name>
    <c:fmtId val="7"/>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Sum_Of_Sales!$B$3</c:f>
              <c:strCache>
                <c:ptCount val="1"/>
                <c:pt idx="0">
                  <c:v>Total</c:v>
                </c:pt>
              </c:strCache>
            </c:strRef>
          </c:tx>
          <c:invertIfNegative val="0"/>
          <c:cat>
            <c:strRef>
              <c:f>Sum_Of_Sales!$A$4:$A$5</c:f>
              <c:strCache>
                <c:ptCount val="1"/>
                <c:pt idx="0">
                  <c:v>East</c:v>
                </c:pt>
              </c:strCache>
            </c:strRef>
          </c:cat>
          <c:val>
            <c:numRef>
              <c:f>Sum_Of_Sales!$B$4:$B$5</c:f>
              <c:numCache>
                <c:formatCode>General</c:formatCode>
                <c:ptCount val="1"/>
                <c:pt idx="0">
                  <c:v>6419045</c:v>
                </c:pt>
              </c:numCache>
            </c:numRef>
          </c:val>
        </c:ser>
        <c:dLbls>
          <c:showLegendKey val="0"/>
          <c:showVal val="0"/>
          <c:showCatName val="0"/>
          <c:showSerName val="0"/>
          <c:showPercent val="0"/>
          <c:showBubbleSize val="0"/>
        </c:dLbls>
        <c:gapWidth val="150"/>
        <c:axId val="276804352"/>
        <c:axId val="334130560"/>
      </c:barChart>
      <c:catAx>
        <c:axId val="276804352"/>
        <c:scaling>
          <c:orientation val="minMax"/>
        </c:scaling>
        <c:delete val="0"/>
        <c:axPos val="l"/>
        <c:majorTickMark val="out"/>
        <c:minorTickMark val="none"/>
        <c:tickLblPos val="nextTo"/>
        <c:crossAx val="334130560"/>
        <c:crosses val="autoZero"/>
        <c:auto val="1"/>
        <c:lblAlgn val="ctr"/>
        <c:lblOffset val="100"/>
        <c:noMultiLvlLbl val="0"/>
      </c:catAx>
      <c:valAx>
        <c:axId val="334130560"/>
        <c:scaling>
          <c:orientation val="minMax"/>
        </c:scaling>
        <c:delete val="0"/>
        <c:axPos val="b"/>
        <c:majorGridlines/>
        <c:numFmt formatCode="General" sourceLinked="1"/>
        <c:majorTickMark val="out"/>
        <c:minorTickMark val="none"/>
        <c:tickLblPos val="nextTo"/>
        <c:crossAx val="2768043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[Excel_Sales_Dataset.xlsx]Monthly Sales!PivotTable3</c:name>
    <c:fmtId val="3"/>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'Monthly Sales'!$B$3</c:f>
              <c:strCache>
                <c:ptCount val="1"/>
                <c:pt idx="0">
                  <c:v>Total</c:v>
                </c:pt>
              </c:strCache>
            </c:strRef>
          </c:tx>
          <c:marker>
            <c:symbol val="none"/>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688650</c:v>
                </c:pt>
                <c:pt idx="1">
                  <c:v>1175160</c:v>
                </c:pt>
                <c:pt idx="2">
                  <c:v>1022710</c:v>
                </c:pt>
                <c:pt idx="3">
                  <c:v>127215</c:v>
                </c:pt>
                <c:pt idx="4">
                  <c:v>1007600</c:v>
                </c:pt>
                <c:pt idx="5">
                  <c:v>55410</c:v>
                </c:pt>
                <c:pt idx="6">
                  <c:v>342650</c:v>
                </c:pt>
                <c:pt idx="7">
                  <c:v>454000</c:v>
                </c:pt>
                <c:pt idx="8">
                  <c:v>249040</c:v>
                </c:pt>
                <c:pt idx="9">
                  <c:v>73920</c:v>
                </c:pt>
                <c:pt idx="10">
                  <c:v>651800</c:v>
                </c:pt>
                <c:pt idx="11">
                  <c:v>570890</c:v>
                </c:pt>
              </c:numCache>
            </c:numRef>
          </c:val>
          <c:smooth val="0"/>
        </c:ser>
        <c:dLbls>
          <c:showLegendKey val="0"/>
          <c:showVal val="0"/>
          <c:showCatName val="0"/>
          <c:showSerName val="0"/>
          <c:showPercent val="0"/>
          <c:showBubbleSize val="0"/>
        </c:dLbls>
        <c:marker val="1"/>
        <c:smooth val="0"/>
        <c:axId val="276580608"/>
        <c:axId val="281304064"/>
      </c:lineChart>
      <c:catAx>
        <c:axId val="276580608"/>
        <c:scaling>
          <c:orientation val="minMax"/>
        </c:scaling>
        <c:delete val="0"/>
        <c:axPos val="b"/>
        <c:majorTickMark val="out"/>
        <c:minorTickMark val="none"/>
        <c:tickLblPos val="nextTo"/>
        <c:crossAx val="281304064"/>
        <c:crosses val="autoZero"/>
        <c:auto val="1"/>
        <c:lblAlgn val="ctr"/>
        <c:lblOffset val="100"/>
        <c:noMultiLvlLbl val="0"/>
      </c:catAx>
      <c:valAx>
        <c:axId val="281304064"/>
        <c:scaling>
          <c:orientation val="minMax"/>
        </c:scaling>
        <c:delete val="0"/>
        <c:axPos val="l"/>
        <c:majorGridlines/>
        <c:numFmt formatCode="General" sourceLinked="1"/>
        <c:majorTickMark val="out"/>
        <c:minorTickMark val="none"/>
        <c:tickLblPos val="nextTo"/>
        <c:crossAx val="2765806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[Excel_Sales_Dataset.xlsx]Monthly Sales!PivotTable3</c:name>
    <c:fmtId val="6"/>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'Monthly Sales'!$B$3</c:f>
              <c:strCache>
                <c:ptCount val="1"/>
                <c:pt idx="0">
                  <c:v>Total</c:v>
                </c:pt>
              </c:strCache>
            </c:strRef>
          </c:tx>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688650</c:v>
                </c:pt>
                <c:pt idx="1">
                  <c:v>1175160</c:v>
                </c:pt>
                <c:pt idx="2">
                  <c:v>1022710</c:v>
                </c:pt>
                <c:pt idx="3">
                  <c:v>127215</c:v>
                </c:pt>
                <c:pt idx="4">
                  <c:v>1007600</c:v>
                </c:pt>
                <c:pt idx="5">
                  <c:v>55410</c:v>
                </c:pt>
                <c:pt idx="6">
                  <c:v>342650</c:v>
                </c:pt>
                <c:pt idx="7">
                  <c:v>454000</c:v>
                </c:pt>
                <c:pt idx="8">
                  <c:v>249040</c:v>
                </c:pt>
                <c:pt idx="9">
                  <c:v>73920</c:v>
                </c:pt>
                <c:pt idx="10">
                  <c:v>651800</c:v>
                </c:pt>
                <c:pt idx="11">
                  <c:v>570890</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409575</xdr:colOff>
      <xdr:row>1</xdr:row>
      <xdr:rowOff>95250</xdr:rowOff>
    </xdr:from>
    <xdr:to>
      <xdr:col>13</xdr:col>
      <xdr:colOff>104775</xdr:colOff>
      <xdr:row>15</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400050</xdr:colOff>
      <xdr:row>16</xdr:row>
      <xdr:rowOff>95250</xdr:rowOff>
    </xdr:from>
    <xdr:to>
      <xdr:col>13</xdr:col>
      <xdr:colOff>95250</xdr:colOff>
      <xdr:row>30</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314325</xdr:colOff>
      <xdr:row>2</xdr:row>
      <xdr:rowOff>114300</xdr:rowOff>
    </xdr:from>
    <xdr:to>
      <xdr:col>21</xdr:col>
      <xdr:colOff>9525</xdr:colOff>
      <xdr:row>17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11</xdr:row>
      <xdr:rowOff>114300</xdr:rowOff>
    </xdr:from>
    <xdr:to>
      <xdr:col>2</xdr:col>
      <xdr:colOff>180975</xdr:colOff>
      <xdr:row>24</xdr:row>
      <xdr:rowOff>161925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220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238125</xdr:colOff>
      <xdr:row>10</xdr:row>
      <xdr:rowOff>180975</xdr:rowOff>
    </xdr:from>
    <xdr:to>
      <xdr:col>5</xdr:col>
      <xdr:colOff>238125</xdr:colOff>
      <xdr:row>24</xdr:row>
      <xdr:rowOff>38100</xdr:rowOff>
    </xdr:to>
    <mc:AlternateContent xmlns:mc="http://schemas.openxmlformats.org/markup-compatibility/2006">
      <mc:Choice xmlns:a14="http://schemas.microsoft.com/office/drawing/2010/main" Requires="a14">
        <xdr:graphicFrame macro="">
          <xdr:nvGraphicFramePr>
            <xdr:cNvPr id="6"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924050" y="2085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361950</xdr:colOff>
      <xdr:row>1</xdr:row>
      <xdr:rowOff>161925</xdr:rowOff>
    </xdr:from>
    <xdr:to>
      <xdr:col>13</xdr:col>
      <xdr:colOff>57150</xdr:colOff>
      <xdr:row>16</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104775</xdr:colOff>
      <xdr:row>1</xdr:row>
      <xdr:rowOff>66675</xdr:rowOff>
    </xdr:from>
    <xdr:to>
      <xdr:col>13</xdr:col>
      <xdr:colOff>409575</xdr:colOff>
      <xdr:row>15</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85725</xdr:colOff>
      <xdr:row>16</xdr:row>
      <xdr:rowOff>95250</xdr:rowOff>
    </xdr:from>
    <xdr:to>
      <xdr:col>13</xdr:col>
      <xdr:colOff>390525</xdr:colOff>
      <xdr:row>30</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504825</xdr:colOff>
      <xdr:row>1</xdr:row>
      <xdr:rowOff>66675</xdr:rowOff>
    </xdr:from>
    <xdr:to>
      <xdr:col>21</xdr:col>
      <xdr:colOff>200025</xdr:colOff>
      <xdr:row>15</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400050</xdr:colOff>
      <xdr:row>1</xdr:row>
      <xdr:rowOff>180975</xdr:rowOff>
    </xdr:from>
    <xdr:to>
      <xdr:col>13</xdr:col>
      <xdr:colOff>95250</xdr:colOff>
      <xdr:row>16</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304800</xdr:colOff>
      <xdr:row>14</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0</xdr:row>
      <xdr:rowOff>0</xdr:rowOff>
    </xdr:from>
    <xdr:to>
      <xdr:col>20</xdr:col>
      <xdr:colOff>304800</xdr:colOff>
      <xdr:row>14</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15</xdr:row>
      <xdr:rowOff>0</xdr:rowOff>
    </xdr:from>
    <xdr:to>
      <xdr:col>12</xdr:col>
      <xdr:colOff>304800</xdr:colOff>
      <xdr:row>29</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15</xdr:row>
      <xdr:rowOff>0</xdr:rowOff>
    </xdr:from>
    <xdr:to>
      <xdr:col>20</xdr:col>
      <xdr:colOff>304800</xdr:colOff>
      <xdr:row>29</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26.003506944442" createdVersion="4" refreshedVersion="4" minRefreshableVersion="3" recordCount="500">
  <cacheSource type="worksheet">
    <worksheetSource ref="A1:S501" sheet="Analysis"/>
  </cacheSource>
  <cacheFields count="19">
    <cacheField name="Order_ID" numFmtId="0">
      <sharedItems containsSemiMixedTypes="0" containsString="0" containsNumber="1" containsInteger="1" minValue="1001" maxValue="1500"/>
    </cacheField>
    <cacheField name="Order_Date" numFmtId="0">
      <sharedItems count="313">
        <s v="2025-08-08"/>
        <s v="2026-04-26"/>
        <s v="2025-02-16"/>
        <s v="2026-06-22"/>
        <s v="2025-11-05"/>
        <s v="2025-01-27"/>
        <s v="2025-03-18"/>
        <s v="2025-02-27"/>
        <s v="2025-08-06"/>
        <s v="2025-02-05"/>
        <s v="2026-03-18"/>
        <s v="2025-05-10"/>
        <s v="2025-06-25"/>
        <s v="2026-02-02"/>
        <s v="2026-03-06"/>
        <s v="2026-01-09"/>
        <s v="2025-07-05"/>
        <s v="2025-06-28"/>
        <s v="2025-08-20"/>
        <s v="2025-04-24"/>
        <s v="2026-02-25"/>
        <s v="2026-05-29"/>
        <s v="2026-01-06"/>
        <s v="2026-03-24"/>
        <s v="2025-02-04"/>
        <s v="2026-02-21"/>
        <s v="2025-06-23"/>
        <s v="2025-11-01"/>
        <s v="2025-04-10"/>
        <s v="2025-05-16"/>
        <s v="2026-02-19"/>
        <s v="2025-07-07"/>
        <s v="2025-08-16"/>
        <s v="2026-02-28"/>
        <s v="2026-03-14"/>
        <s v="2025-05-25"/>
        <s v="2025-08-18"/>
        <s v="2025-12-19"/>
        <s v="2025-12-25"/>
        <s v="2025-07-02"/>
        <s v="2025-07-22"/>
        <s v="2026-05-22"/>
        <s v="2026-01-17"/>
        <s v="2025-07-21"/>
        <s v="2025-10-08"/>
        <s v="2026-05-15"/>
        <s v="2025-05-05"/>
        <s v="2025-11-15"/>
        <s v="2025-11-12"/>
        <s v="2025-09-01"/>
        <s v="2025-02-01"/>
        <s v="2025-08-26"/>
        <s v="2025-04-06"/>
        <s v="2025-01-16"/>
        <s v="2026-05-25"/>
        <s v="2026-06-15"/>
        <s v="2026-03-25"/>
        <s v="2026-06-05"/>
        <s v="2025-12-14"/>
        <s v="2025-07-24"/>
        <s v="2025-08-27"/>
        <s v="2026-04-03"/>
        <s v="2025-10-17"/>
        <s v="2025-03-10"/>
        <s v="2025-06-29"/>
        <s v="2025-05-21"/>
        <s v="2025-01-20"/>
        <s v="2025-05-22"/>
        <s v="2025-07-20"/>
        <s v="2025-06-27"/>
        <s v="2025-08-22"/>
        <s v="2025-12-13"/>
        <s v="2025-09-21"/>
        <s v="2025-12-20"/>
        <s v="2025-06-07"/>
        <s v="2025-05-01"/>
        <s v="2026-01-26"/>
        <s v="2026-01-11"/>
        <s v="2025-10-22"/>
        <s v="2026-01-18"/>
        <s v="2026-01-24"/>
        <s v="2026-01-22"/>
        <s v="2025-09-06"/>
        <s v="2026-05-18"/>
        <s v="2025-05-28"/>
        <s v="2025-03-31"/>
        <s v="2026-03-02"/>
        <s v="2026-01-12"/>
        <s v="2025-09-19"/>
        <s v="2025-04-20"/>
        <s v="2025-03-17"/>
        <s v="2025-11-20"/>
        <s v="2025-05-12"/>
        <s v="2026-05-20"/>
        <s v="2025-02-17"/>
        <s v="2026-01-25"/>
        <s v="2025-11-07"/>
        <s v="2025-09-02"/>
        <s v="2026-03-26"/>
        <s v="2025-05-14"/>
        <s v="2025-09-18"/>
        <s v="2025-06-26"/>
        <s v="2025-01-15"/>
        <s v="2026-01-04"/>
        <s v="2026-01-01"/>
        <s v="2026-03-12"/>
        <s v="2025-07-10"/>
        <s v="2025-10-16"/>
        <s v="2025-12-07"/>
        <s v="2025-03-07"/>
        <s v="2025-05-07"/>
        <s v="2025-11-02"/>
        <s v="2025-06-14"/>
        <s v="2025-08-11"/>
        <s v="2026-04-17"/>
        <s v="2026-04-20"/>
        <s v="2026-04-30"/>
        <s v="2025-12-09"/>
        <s v="2025-04-03"/>
        <s v="2026-02-12"/>
        <s v="2025-02-08"/>
        <s v="2025-04-08"/>
        <s v="2025-05-04"/>
        <s v="2026-02-06"/>
        <s v="2025-01-01"/>
        <s v="2026-01-29"/>
        <s v="2025-08-10"/>
        <s v="2025-09-27"/>
        <s v="2025-07-18"/>
        <s v="2025-09-09"/>
        <s v="2025-03-15"/>
        <s v="2025-08-12"/>
        <s v="2025-09-30"/>
        <s v="2025-02-12"/>
        <s v="2025-06-20"/>
        <s v="2025-10-14"/>
        <s v="2025-02-20"/>
        <s v="2025-04-18"/>
        <s v="2026-05-12"/>
        <s v="2026-01-08"/>
        <s v="2025-04-01"/>
        <s v="2025-05-27"/>
        <s v="2026-06-24"/>
        <s v="2026-06-25"/>
        <s v="2025-02-10"/>
        <s v="2025-06-09"/>
        <s v="2025-06-04"/>
        <s v="2025-03-11"/>
        <s v="2026-04-22"/>
        <s v="2026-02-15"/>
        <s v="2025-04-30"/>
        <s v="2025-02-18"/>
        <s v="2025-09-17"/>
        <s v="2025-03-19"/>
        <s v="2025-03-26"/>
        <s v="2025-01-30"/>
        <s v="2025-05-11"/>
        <s v="2026-01-20"/>
        <s v="2025-10-31"/>
        <s v="2025-08-01"/>
        <s v="2025-01-05"/>
        <s v="2025-07-26"/>
        <s v="2025-06-10"/>
        <s v="2025-05-30"/>
        <s v="2025-05-19"/>
        <s v="2025-01-09"/>
        <s v="2025-11-18"/>
        <s v="2025-07-23"/>
        <s v="2026-04-21"/>
        <s v="2026-01-21"/>
        <s v="2025-05-18"/>
        <s v="2026-05-31"/>
        <s v="2025-06-08"/>
        <s v="2026-06-07"/>
        <s v="2025-01-25"/>
        <s v="2025-06-22"/>
        <s v="2026-02-18"/>
        <s v="2025-03-09"/>
        <s v="2025-10-15"/>
        <s v="2026-02-22"/>
        <s v="2026-01-13"/>
        <s v="2026-01-10"/>
        <s v="2025-01-22"/>
        <s v="2026-03-04"/>
        <s v="2026-03-09"/>
        <s v="2026-01-23"/>
        <s v="2025-10-03"/>
        <s v="2025-08-30"/>
        <s v="2026-03-19"/>
        <s v="2026-06-09"/>
        <s v="2026-06-08"/>
        <s v="2025-11-23"/>
        <s v="2026-01-15"/>
        <s v="2025-07-14"/>
        <s v="2026-04-11"/>
        <s v="2025-06-13"/>
        <s v="2025-12-05"/>
        <s v="2026-04-23"/>
        <s v="2026-06-13"/>
        <s v="2026-04-07"/>
        <s v="2025-11-17"/>
        <s v="2025-09-25"/>
        <s v="2026-04-15"/>
        <s v="2026-05-01"/>
        <s v="2026-04-04"/>
        <s v="2026-06-01"/>
        <s v="2025-10-26"/>
        <s v="2025-01-11"/>
        <s v="2025-08-21"/>
        <s v="2025-03-22"/>
        <s v="2026-03-11"/>
        <s v="2025-11-14"/>
        <s v="2026-06-19"/>
        <s v="2025-03-08"/>
        <s v="2025-04-22"/>
        <s v="2025-02-26"/>
        <s v="2025-10-25"/>
        <s v="2025-07-25"/>
        <s v="2025-09-05"/>
        <s v="2025-11-21"/>
        <s v="2025-08-03"/>
        <s v="2025-11-26"/>
        <s v="2025-03-20"/>
        <s v="2025-01-06"/>
        <s v="2025-04-26"/>
        <s v="2025-02-24"/>
        <s v="2025-09-28"/>
        <s v="2026-05-17"/>
        <s v="2025-02-14"/>
        <s v="2025-09-04"/>
        <s v="2025-01-18"/>
        <s v="2025-03-21"/>
        <s v="2026-04-29"/>
        <s v="2025-07-11"/>
        <s v="2026-04-08"/>
        <s v="2025-06-21"/>
        <s v="2026-05-05"/>
        <s v="2025-07-12"/>
        <s v="2025-02-09"/>
        <s v="2026-03-22"/>
        <s v="2026-04-16"/>
        <s v="2025-04-14"/>
        <s v="2025-09-16"/>
        <s v="2025-04-28"/>
        <s v="2025-12-01"/>
        <s v="2025-05-02"/>
        <s v="2025-09-13"/>
        <s v="2025-03-24"/>
        <s v="2025-02-23"/>
        <s v="2025-06-30"/>
        <s v="2025-09-12"/>
        <s v="2025-10-19"/>
        <s v="2025-07-03"/>
        <s v="2025-10-11"/>
        <s v="2025-02-07"/>
        <s v="2025-12-21"/>
        <s v="2026-05-26"/>
        <s v="2025-06-18"/>
        <s v="2026-04-14"/>
        <s v="2025-11-29"/>
        <s v="2025-09-24"/>
        <s v="2025-10-21"/>
        <s v="2025-11-27"/>
        <s v="2026-02-09"/>
        <s v="2025-07-08"/>
        <s v="2026-04-12"/>
        <s v="2026-03-08"/>
        <s v="2026-03-31"/>
        <s v="2025-07-28"/>
        <s v="2025-11-11"/>
        <s v="2026-03-16"/>
        <s v="2025-02-25"/>
        <s v="2025-05-26"/>
        <s v="2025-03-05"/>
        <s v="2026-04-27"/>
        <s v="2026-05-04"/>
        <s v="2026-05-11"/>
        <s v="2026-01-27"/>
        <s v="2025-01-24"/>
        <s v="2026-04-18"/>
        <s v="2026-02-08"/>
        <s v="2026-06-21"/>
        <s v="2025-04-07"/>
        <s v="2026-05-02"/>
        <s v="2025-12-27"/>
        <s v="2025-08-14"/>
        <s v="2025-02-06"/>
        <s v="2025-03-28"/>
        <s v="2025-08-04"/>
        <s v="2025-04-17"/>
        <s v="2025-03-04"/>
        <s v="2025-12-15"/>
        <s v="2025-09-03"/>
        <s v="2026-01-16"/>
        <s v="2025-02-15"/>
        <s v="2025-04-11"/>
        <s v="2025-04-15"/>
        <s v="2025-03-29"/>
        <s v="2025-12-17"/>
        <s v="2025-02-03"/>
        <s v="2026-05-23"/>
        <s v="2026-06-16"/>
        <s v="2025-10-07"/>
        <s v="2025-05-03"/>
        <s v="2026-05-14"/>
        <s v="2025-05-13"/>
        <s v="2025-07-04"/>
        <s v="2025-11-10"/>
        <s v="2026-04-09"/>
        <s v="2025-02-02"/>
        <s v="2026-06-18"/>
        <s v="2026-06-06"/>
        <s v="2025-02-19"/>
      </sharedItems>
    </cacheField>
    <cacheField name="Customer_Name" numFmtId="0">
      <sharedItems/>
    </cacheField>
    <cacheField name="Region" numFmtId="0">
      <sharedItems count="4">
        <s v="North"/>
        <s v="West"/>
        <s v="South"/>
        <s v="East"/>
      </sharedItems>
    </cacheField>
    <cacheField name="Product" numFmtId="0">
      <sharedItems count="6">
        <s v="Laptop"/>
        <s v="Monitor"/>
        <s v="Printer"/>
        <s v="Chair"/>
        <s v="Keyboard"/>
        <s v="Mouse"/>
      </sharedItems>
    </cacheField>
    <cacheField name="Category" numFmtId="0">
      <sharedItems count="3">
        <s v="Electronics"/>
        <s v="Furniture"/>
        <s v="Accessorie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800" maxValue="55000"/>
    </cacheField>
    <cacheField name="Discount_%" numFmtId="0">
      <sharedItems containsSemiMixedTypes="0" containsString="0" containsNumber="1" containsInteger="1" minValue="0" maxValue="20"/>
    </cacheField>
    <cacheField name="Sales" numFmtId="0">
      <sharedItems containsSemiMixedTypes="0" containsString="0" containsNumber="1" containsInteger="1" minValue="680" maxValue="550000" count="209">
        <n v="550000"/>
        <n v="495000"/>
        <n v="467500"/>
        <n v="440000"/>
        <n v="420750"/>
        <n v="418000"/>
        <n v="396000"/>
        <n v="385000"/>
        <n v="374000"/>
        <n v="365750"/>
        <n v="352000"/>
        <n v="346500"/>
        <n v="330000"/>
        <n v="327250"/>
        <n v="308000"/>
        <n v="297000"/>
        <n v="280500"/>
        <n v="275000"/>
        <n v="264000"/>
        <n v="261250"/>
        <n v="247500"/>
        <n v="233750"/>
        <n v="220000"/>
        <n v="209000"/>
        <n v="198000"/>
        <n v="187000"/>
        <n v="176000"/>
        <n v="165000"/>
        <n v="156750"/>
        <n v="148500"/>
        <n v="140250"/>
        <n v="132000"/>
        <n v="120000"/>
        <n v="114000"/>
        <n v="108000"/>
        <n v="104500"/>
        <n v="102600"/>
        <n v="99000"/>
        <n v="97200"/>
        <n v="96000"/>
        <n v="93500"/>
        <n v="91800"/>
        <n v="91200"/>
        <n v="90000"/>
        <n v="88000"/>
        <n v="86400"/>
        <n v="85500"/>
        <n v="84000"/>
        <n v="81000"/>
        <n v="79800"/>
        <n v="76950"/>
        <n v="76800"/>
        <n v="76500"/>
        <n v="75600"/>
        <n v="72900"/>
        <n v="72000"/>
        <n v="71400"/>
        <n v="70000"/>
        <n v="68850"/>
        <n v="68400"/>
        <n v="67200"/>
        <n v="66500"/>
        <n v="64800"/>
        <n v="63000"/>
        <n v="61200"/>
        <n v="60000"/>
        <n v="59850"/>
        <n v="59500"/>
        <n v="57600"/>
        <n v="57000"/>
        <n v="56700"/>
        <n v="56000"/>
        <n v="55000"/>
        <n v="54000"/>
        <n v="53550"/>
        <n v="52250"/>
        <n v="50400"/>
        <n v="49500"/>
        <n v="49000"/>
        <n v="48600"/>
        <n v="48000"/>
        <n v="47600"/>
        <n v="46750"/>
        <n v="46550"/>
        <n v="45900"/>
        <n v="45600"/>
        <n v="45000"/>
        <n v="44800"/>
        <n v="44100"/>
        <n v="44000"/>
        <n v="43200"/>
        <n v="42750"/>
        <n v="42000"/>
        <n v="40800"/>
        <n v="39200"/>
        <n v="38400"/>
        <n v="38250"/>
        <n v="37800"/>
        <n v="36000"/>
        <n v="35700"/>
        <n v="34200"/>
        <n v="33600"/>
        <n v="33250"/>
        <n v="32400"/>
        <n v="31500"/>
        <n v="30600"/>
        <n v="29750"/>
        <n v="28000"/>
        <n v="27000"/>
        <n v="26600"/>
        <n v="25650"/>
        <n v="24300"/>
        <n v="23800"/>
        <n v="22950"/>
        <n v="22800"/>
        <n v="22400"/>
        <n v="21600"/>
        <n v="21000"/>
        <n v="20400"/>
        <n v="19950"/>
        <n v="19200"/>
        <n v="18900"/>
        <n v="18000"/>
        <n v="17850"/>
        <n v="17100"/>
        <n v="15300"/>
        <n v="15000"/>
        <n v="14400"/>
        <n v="14250"/>
        <n v="14000"/>
        <n v="13300"/>
        <n v="12825"/>
        <n v="12750"/>
        <n v="12600"/>
        <n v="12150"/>
        <n v="12000"/>
        <n v="11900"/>
        <n v="11475"/>
        <n v="11400"/>
        <n v="11200"/>
        <n v="10800"/>
        <n v="10200"/>
        <n v="9975"/>
        <n v="9600"/>
        <n v="9450"/>
        <n v="9000"/>
        <n v="8925"/>
        <n v="8550"/>
        <n v="8100"/>
        <n v="8000"/>
        <n v="7650"/>
        <n v="7600"/>
        <n v="7500"/>
        <n v="7200"/>
        <n v="7125"/>
        <n v="6750"/>
        <n v="6650"/>
        <n v="6400"/>
        <n v="6300"/>
        <n v="6120"/>
        <n v="6000"/>
        <n v="5760"/>
        <n v="5700"/>
        <n v="5600"/>
        <n v="5440"/>
        <n v="5400"/>
        <n v="5320"/>
        <n v="5100"/>
        <n v="5040"/>
        <n v="4800"/>
        <n v="4760"/>
        <n v="4560"/>
        <n v="4500"/>
        <n v="4480"/>
        <n v="4320"/>
        <n v="4275"/>
        <n v="4050"/>
        <n v="4000"/>
        <n v="3840"/>
        <n v="3825"/>
        <n v="3800"/>
        <n v="3600"/>
        <n v="3400"/>
        <n v="3200"/>
        <n v="3040"/>
        <n v="3000"/>
        <n v="2850"/>
        <n v="2720"/>
        <n v="2700"/>
        <n v="2560"/>
        <n v="2550"/>
        <n v="2400"/>
        <n v="2160"/>
        <n v="2040"/>
        <n v="1920"/>
        <n v="1600"/>
        <n v="1520"/>
        <n v="1500"/>
        <n v="1440"/>
        <n v="1425"/>
        <n v="1360"/>
        <n v="1350"/>
        <n v="1280"/>
        <n v="1275"/>
        <n v="1200"/>
        <n v="800"/>
        <n v="760"/>
        <n v="720"/>
        <n v="680"/>
      </sharedItems>
    </cacheField>
    <cacheField name="Profit" numFmtId="0">
      <sharedItems containsSemiMixedTypes="0" containsString="0" containsNumber="1" minValue="77.17" maxValue="126766.07"/>
    </cacheField>
    <cacheField name="Profit Category" numFmtId="0">
      <sharedItems/>
    </cacheField>
    <cacheField name="Year" numFmtId="0">
      <sharedItems containsSemiMixedTypes="0" containsString="0" containsNumber="1" containsInteger="1" minValue="2025" maxValue="2026"/>
    </cacheField>
    <cacheField name="Month" numFmtId="0">
      <sharedItems count="12">
        <s v="August"/>
        <s v="April"/>
        <s v="February"/>
        <s v="June"/>
        <s v="November"/>
        <s v="January"/>
        <s v="March"/>
        <s v="May"/>
        <s v="July"/>
        <s v="December"/>
        <s v="October"/>
        <s v="September"/>
      </sharedItems>
    </cacheField>
    <cacheField name="Sales Category" numFmtId="0">
      <sharedItems/>
    </cacheField>
    <cacheField name="Discount Amount" numFmtId="0">
      <sharedItems containsSemiMixedTypes="0" containsString="0" containsNumber="1" containsInteger="1" minValue="0" maxValue="110000"/>
    </cacheField>
    <cacheField name="Net Sales" numFmtId="0">
      <sharedItems containsSemiMixedTypes="0" containsString="0" containsNumber="1" containsInteger="1" minValue="0" maxValue="0"/>
    </cacheField>
    <cacheField name="Summary Table" numFmtId="0">
      <sharedItems containsString="0" containsBlank="1" containsNumber="1" minValue="500" maxValue="34878370"/>
    </cacheField>
    <cacheField name="Metrics"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n v="1035"/>
    <x v="0"/>
    <s v="Neha"/>
    <x v="0"/>
    <x v="0"/>
    <x v="0"/>
    <n v="10"/>
    <n v="55000"/>
    <n v="0"/>
    <x v="0"/>
    <n v="126766.07"/>
    <s v="High Profit"/>
    <n v="2025"/>
    <x v="0"/>
    <s v="Excellent"/>
    <n v="0"/>
    <n v="0"/>
    <n v="34878370"/>
    <s v="Total Sales"/>
  </r>
  <r>
    <n v="1085"/>
    <x v="1"/>
    <s v="Rahul"/>
    <x v="0"/>
    <x v="0"/>
    <x v="0"/>
    <n v="10"/>
    <n v="55000"/>
    <n v="0"/>
    <x v="0"/>
    <n v="98066.59"/>
    <s v="High Profit"/>
    <n v="2026"/>
    <x v="1"/>
    <s v="Excellent"/>
    <n v="0"/>
    <n v="0"/>
    <n v="5607977.9399999995"/>
    <s v="Total Profit"/>
  </r>
  <r>
    <n v="1093"/>
    <x v="2"/>
    <s v="Neha"/>
    <x v="0"/>
    <x v="0"/>
    <x v="0"/>
    <n v="10"/>
    <n v="55000"/>
    <n v="0"/>
    <x v="0"/>
    <n v="68359.240000000005"/>
    <s v="High Profit"/>
    <n v="2025"/>
    <x v="2"/>
    <s v="Excellent"/>
    <n v="0"/>
    <n v="0"/>
    <n v="500"/>
    <s v="Total Orders"/>
  </r>
  <r>
    <n v="1211"/>
    <x v="3"/>
    <s v="Neha"/>
    <x v="0"/>
    <x v="0"/>
    <x v="0"/>
    <n v="10"/>
    <n v="55000"/>
    <n v="0"/>
    <x v="0"/>
    <n v="44059.68"/>
    <s v="High Profit"/>
    <n v="2026"/>
    <x v="3"/>
    <s v="Excellent"/>
    <n v="0"/>
    <n v="0"/>
    <n v="69756.740000000005"/>
    <s v="Average Sales"/>
  </r>
  <r>
    <n v="1228"/>
    <x v="4"/>
    <s v="Sneha"/>
    <x v="1"/>
    <x v="0"/>
    <x v="0"/>
    <n v="10"/>
    <n v="55000"/>
    <n v="0"/>
    <x v="0"/>
    <n v="90324.56"/>
    <s v="High Profit"/>
    <n v="2025"/>
    <x v="4"/>
    <s v="Excellent"/>
    <n v="0"/>
    <n v="0"/>
    <m/>
    <m/>
  </r>
  <r>
    <n v="1007"/>
    <x v="5"/>
    <s v="Mrunali"/>
    <x v="1"/>
    <x v="0"/>
    <x v="0"/>
    <n v="9"/>
    <n v="55000"/>
    <n v="0"/>
    <x v="1"/>
    <n v="48387.56"/>
    <s v="High Profit"/>
    <n v="2025"/>
    <x v="5"/>
    <s v="Excellent"/>
    <n v="0"/>
    <n v="0"/>
    <m/>
    <m/>
  </r>
  <r>
    <n v="1086"/>
    <x v="6"/>
    <s v="Vikas"/>
    <x v="2"/>
    <x v="0"/>
    <x v="0"/>
    <n v="10"/>
    <n v="55000"/>
    <n v="10"/>
    <x v="1"/>
    <n v="99251.65"/>
    <s v="High Profit"/>
    <n v="2025"/>
    <x v="6"/>
    <s v="Excellent"/>
    <n v="55000"/>
    <n v="0"/>
    <m/>
    <m/>
  </r>
  <r>
    <n v="1099"/>
    <x v="7"/>
    <s v="Mrunali"/>
    <x v="1"/>
    <x v="0"/>
    <x v="0"/>
    <n v="10"/>
    <n v="55000"/>
    <n v="10"/>
    <x v="1"/>
    <n v="81598.19"/>
    <s v="High Profit"/>
    <n v="2025"/>
    <x v="2"/>
    <s v="Excellent"/>
    <n v="55000"/>
    <n v="0"/>
    <m/>
    <m/>
  </r>
  <r>
    <n v="1254"/>
    <x v="8"/>
    <s v="Vikas"/>
    <x v="2"/>
    <x v="0"/>
    <x v="0"/>
    <n v="10"/>
    <n v="55000"/>
    <n v="10"/>
    <x v="1"/>
    <n v="114770.47"/>
    <s v="High Profit"/>
    <n v="2025"/>
    <x v="0"/>
    <s v="Excellent"/>
    <n v="55000"/>
    <n v="0"/>
    <m/>
    <m/>
  </r>
  <r>
    <n v="1261"/>
    <x v="9"/>
    <s v="Amit"/>
    <x v="0"/>
    <x v="0"/>
    <x v="0"/>
    <n v="9"/>
    <n v="55000"/>
    <n v="0"/>
    <x v="1"/>
    <n v="81689.919999999998"/>
    <s v="High Profit"/>
    <n v="2025"/>
    <x v="2"/>
    <s v="Excellent"/>
    <n v="0"/>
    <n v="0"/>
    <m/>
    <m/>
  </r>
  <r>
    <n v="1315"/>
    <x v="10"/>
    <s v="Anjali"/>
    <x v="3"/>
    <x v="0"/>
    <x v="0"/>
    <n v="10"/>
    <n v="55000"/>
    <n v="15"/>
    <x v="2"/>
    <n v="90548.62"/>
    <s v="High Profit"/>
    <n v="2026"/>
    <x v="6"/>
    <s v="Excellent"/>
    <n v="82500"/>
    <n v="0"/>
    <m/>
    <m/>
  </r>
  <r>
    <n v="1387"/>
    <x v="11"/>
    <s v="Amit"/>
    <x v="0"/>
    <x v="0"/>
    <x v="0"/>
    <n v="10"/>
    <n v="55000"/>
    <n v="15"/>
    <x v="2"/>
    <n v="43203.53"/>
    <s v="High Profit"/>
    <n v="2025"/>
    <x v="7"/>
    <s v="Excellent"/>
    <n v="82500"/>
    <n v="0"/>
    <m/>
    <m/>
  </r>
  <r>
    <n v="1399"/>
    <x v="12"/>
    <s v="Kiran"/>
    <x v="0"/>
    <x v="0"/>
    <x v="0"/>
    <n v="10"/>
    <n v="55000"/>
    <n v="15"/>
    <x v="2"/>
    <n v="63109.95"/>
    <s v="High Profit"/>
    <n v="2025"/>
    <x v="3"/>
    <s v="Excellent"/>
    <n v="82500"/>
    <n v="0"/>
    <m/>
    <m/>
  </r>
  <r>
    <n v="1107"/>
    <x v="13"/>
    <s v="Rahul"/>
    <x v="2"/>
    <x v="0"/>
    <x v="0"/>
    <n v="10"/>
    <n v="55000"/>
    <n v="20"/>
    <x v="3"/>
    <n v="104489.18"/>
    <s v="High Profit"/>
    <n v="2026"/>
    <x v="2"/>
    <s v="Excellent"/>
    <n v="110000"/>
    <n v="0"/>
    <m/>
    <m/>
  </r>
  <r>
    <n v="1109"/>
    <x v="14"/>
    <s v="Anjali"/>
    <x v="0"/>
    <x v="0"/>
    <x v="0"/>
    <n v="8"/>
    <n v="55000"/>
    <n v="0"/>
    <x v="3"/>
    <n v="101201.92"/>
    <s v="High Profit"/>
    <n v="2026"/>
    <x v="6"/>
    <s v="Excellent"/>
    <n v="0"/>
    <n v="0"/>
    <m/>
    <m/>
  </r>
  <r>
    <n v="1484"/>
    <x v="15"/>
    <s v="Amit"/>
    <x v="0"/>
    <x v="0"/>
    <x v="0"/>
    <n v="8"/>
    <n v="55000"/>
    <n v="0"/>
    <x v="3"/>
    <n v="85978.48"/>
    <s v="High Profit"/>
    <n v="2026"/>
    <x v="5"/>
    <s v="Excellent"/>
    <n v="0"/>
    <n v="0"/>
    <m/>
    <m/>
  </r>
  <r>
    <n v="1041"/>
    <x v="16"/>
    <s v="Vikas"/>
    <x v="1"/>
    <x v="0"/>
    <x v="0"/>
    <n v="9"/>
    <n v="55000"/>
    <n v="15"/>
    <x v="4"/>
    <n v="49712.41"/>
    <s v="High Profit"/>
    <n v="2025"/>
    <x v="8"/>
    <s v="Excellent"/>
    <n v="74250"/>
    <n v="0"/>
    <m/>
    <m/>
  </r>
  <r>
    <n v="1165"/>
    <x v="17"/>
    <s v="Neha"/>
    <x v="1"/>
    <x v="0"/>
    <x v="0"/>
    <n v="9"/>
    <n v="55000"/>
    <n v="15"/>
    <x v="4"/>
    <n v="65768.83"/>
    <s v="High Profit"/>
    <n v="2025"/>
    <x v="3"/>
    <s v="Excellent"/>
    <n v="74250"/>
    <n v="0"/>
    <m/>
    <m/>
  </r>
  <r>
    <n v="1434"/>
    <x v="18"/>
    <s v="Priya"/>
    <x v="1"/>
    <x v="0"/>
    <x v="0"/>
    <n v="8"/>
    <n v="55000"/>
    <n v="5"/>
    <x v="5"/>
    <n v="103024.78"/>
    <s v="High Profit"/>
    <n v="2025"/>
    <x v="0"/>
    <s v="Excellent"/>
    <n v="22000"/>
    <n v="0"/>
    <m/>
    <m/>
  </r>
  <r>
    <n v="1489"/>
    <x v="19"/>
    <s v="Vikas"/>
    <x v="1"/>
    <x v="0"/>
    <x v="0"/>
    <n v="9"/>
    <n v="55000"/>
    <n v="20"/>
    <x v="6"/>
    <n v="41551.440000000002"/>
    <s v="High Profit"/>
    <n v="2025"/>
    <x v="1"/>
    <s v="Excellent"/>
    <n v="99000"/>
    <n v="0"/>
    <m/>
    <m/>
  </r>
  <r>
    <n v="1056"/>
    <x v="20"/>
    <s v="Kiran"/>
    <x v="0"/>
    <x v="0"/>
    <x v="0"/>
    <n v="7"/>
    <n v="55000"/>
    <n v="0"/>
    <x v="7"/>
    <n v="49188.42"/>
    <s v="High Profit"/>
    <n v="2026"/>
    <x v="2"/>
    <s v="Excellent"/>
    <n v="0"/>
    <n v="0"/>
    <m/>
    <m/>
  </r>
  <r>
    <n v="1350"/>
    <x v="21"/>
    <s v="Rahul"/>
    <x v="1"/>
    <x v="0"/>
    <x v="0"/>
    <n v="7"/>
    <n v="55000"/>
    <n v="0"/>
    <x v="7"/>
    <n v="72383.820000000007"/>
    <s v="High Profit"/>
    <n v="2026"/>
    <x v="7"/>
    <s v="Excellent"/>
    <n v="0"/>
    <n v="0"/>
    <m/>
    <m/>
  </r>
  <r>
    <n v="1158"/>
    <x v="22"/>
    <s v="Rahul"/>
    <x v="1"/>
    <x v="0"/>
    <x v="0"/>
    <n v="8"/>
    <n v="55000"/>
    <n v="15"/>
    <x v="8"/>
    <n v="32002.799999999999"/>
    <s v="High Profit"/>
    <n v="2026"/>
    <x v="5"/>
    <s v="Excellent"/>
    <n v="66000"/>
    <n v="0"/>
    <m/>
    <m/>
  </r>
  <r>
    <n v="1178"/>
    <x v="23"/>
    <s v="Rohan"/>
    <x v="1"/>
    <x v="0"/>
    <x v="0"/>
    <n v="7"/>
    <n v="55000"/>
    <n v="5"/>
    <x v="9"/>
    <n v="43026.83"/>
    <s v="High Profit"/>
    <n v="2026"/>
    <x v="6"/>
    <s v="Excellent"/>
    <n v="19250"/>
    <n v="0"/>
    <m/>
    <m/>
  </r>
  <r>
    <n v="1017"/>
    <x v="24"/>
    <s v="Mrunali"/>
    <x v="2"/>
    <x v="0"/>
    <x v="0"/>
    <n v="8"/>
    <n v="55000"/>
    <n v="20"/>
    <x v="10"/>
    <n v="31797.26"/>
    <s v="High Profit"/>
    <n v="2025"/>
    <x v="2"/>
    <s v="Excellent"/>
    <n v="88000"/>
    <n v="0"/>
    <m/>
    <m/>
  </r>
  <r>
    <n v="1115"/>
    <x v="25"/>
    <s v="Vikas"/>
    <x v="3"/>
    <x v="0"/>
    <x v="0"/>
    <n v="8"/>
    <n v="55000"/>
    <n v="20"/>
    <x v="10"/>
    <n v="32505.25"/>
    <s v="High Profit"/>
    <n v="2026"/>
    <x v="2"/>
    <s v="Excellent"/>
    <n v="88000"/>
    <n v="0"/>
    <m/>
    <m/>
  </r>
  <r>
    <n v="1139"/>
    <x v="26"/>
    <s v="Vikas"/>
    <x v="2"/>
    <x v="0"/>
    <x v="0"/>
    <n v="8"/>
    <n v="55000"/>
    <n v="20"/>
    <x v="10"/>
    <n v="64133"/>
    <s v="High Profit"/>
    <n v="2025"/>
    <x v="3"/>
    <s v="Excellent"/>
    <n v="88000"/>
    <n v="0"/>
    <m/>
    <m/>
  </r>
  <r>
    <n v="1419"/>
    <x v="27"/>
    <s v="Vikas"/>
    <x v="3"/>
    <x v="0"/>
    <x v="0"/>
    <n v="7"/>
    <n v="55000"/>
    <n v="10"/>
    <x v="11"/>
    <n v="38351.14"/>
    <s v="High Profit"/>
    <n v="2025"/>
    <x v="4"/>
    <s v="Excellent"/>
    <n v="38500"/>
    <n v="0"/>
    <m/>
    <m/>
  </r>
  <r>
    <n v="1246"/>
    <x v="28"/>
    <s v="Rohan"/>
    <x v="0"/>
    <x v="0"/>
    <x v="0"/>
    <n v="6"/>
    <n v="55000"/>
    <n v="0"/>
    <x v="12"/>
    <n v="37654.699999999997"/>
    <s v="High Profit"/>
    <n v="2025"/>
    <x v="1"/>
    <s v="Excellent"/>
    <n v="0"/>
    <n v="0"/>
    <m/>
    <m/>
  </r>
  <r>
    <n v="1024"/>
    <x v="29"/>
    <s v="Kiran"/>
    <x v="3"/>
    <x v="0"/>
    <x v="0"/>
    <n v="7"/>
    <n v="55000"/>
    <n v="15"/>
    <x v="13"/>
    <n v="75901.240000000005"/>
    <s v="High Profit"/>
    <n v="2025"/>
    <x v="7"/>
    <s v="Excellent"/>
    <n v="57750"/>
    <n v="0"/>
    <m/>
    <m/>
  </r>
  <r>
    <n v="1381"/>
    <x v="30"/>
    <s v="Neha"/>
    <x v="0"/>
    <x v="0"/>
    <x v="0"/>
    <n v="7"/>
    <n v="55000"/>
    <n v="20"/>
    <x v="14"/>
    <n v="60669.760000000002"/>
    <s v="High Profit"/>
    <n v="2026"/>
    <x v="2"/>
    <s v="Excellent"/>
    <n v="77000"/>
    <n v="0"/>
    <m/>
    <m/>
  </r>
  <r>
    <n v="1356"/>
    <x v="31"/>
    <s v="Priya"/>
    <x v="0"/>
    <x v="0"/>
    <x v="0"/>
    <n v="6"/>
    <n v="55000"/>
    <n v="10"/>
    <x v="15"/>
    <n v="61261.45"/>
    <s v="High Profit"/>
    <n v="2025"/>
    <x v="8"/>
    <s v="Excellent"/>
    <n v="33000"/>
    <n v="0"/>
    <m/>
    <m/>
  </r>
  <r>
    <n v="1497"/>
    <x v="32"/>
    <s v="Rahul"/>
    <x v="1"/>
    <x v="0"/>
    <x v="0"/>
    <n v="6"/>
    <n v="55000"/>
    <n v="10"/>
    <x v="15"/>
    <n v="72594.11"/>
    <s v="High Profit"/>
    <n v="2025"/>
    <x v="0"/>
    <s v="Excellent"/>
    <n v="33000"/>
    <n v="0"/>
    <m/>
    <m/>
  </r>
  <r>
    <n v="1142"/>
    <x v="33"/>
    <s v="Rahul"/>
    <x v="2"/>
    <x v="0"/>
    <x v="0"/>
    <n v="6"/>
    <n v="55000"/>
    <n v="15"/>
    <x v="16"/>
    <n v="65095.09"/>
    <s v="High Profit"/>
    <n v="2026"/>
    <x v="2"/>
    <s v="Excellent"/>
    <n v="49500"/>
    <n v="0"/>
    <m/>
    <m/>
  </r>
  <r>
    <n v="1469"/>
    <x v="34"/>
    <s v="Vikas"/>
    <x v="0"/>
    <x v="0"/>
    <x v="0"/>
    <n v="6"/>
    <n v="55000"/>
    <n v="15"/>
    <x v="16"/>
    <n v="59933.59"/>
    <s v="High Profit"/>
    <n v="2026"/>
    <x v="6"/>
    <s v="Excellent"/>
    <n v="49500"/>
    <n v="0"/>
    <m/>
    <m/>
  </r>
  <r>
    <n v="1353"/>
    <x v="17"/>
    <s v="Kiran"/>
    <x v="2"/>
    <x v="0"/>
    <x v="0"/>
    <n v="5"/>
    <n v="55000"/>
    <n v="0"/>
    <x v="17"/>
    <n v="50895.29"/>
    <s v="High Profit"/>
    <n v="2025"/>
    <x v="3"/>
    <s v="Excellent"/>
    <n v="0"/>
    <n v="0"/>
    <m/>
    <m/>
  </r>
  <r>
    <n v="1119"/>
    <x v="35"/>
    <s v="Amit"/>
    <x v="0"/>
    <x v="0"/>
    <x v="0"/>
    <n v="6"/>
    <n v="55000"/>
    <n v="20"/>
    <x v="18"/>
    <n v="24975.21"/>
    <s v="High Profit"/>
    <n v="2025"/>
    <x v="7"/>
    <s v="Excellent"/>
    <n v="66000"/>
    <n v="0"/>
    <m/>
    <m/>
  </r>
  <r>
    <n v="1222"/>
    <x v="36"/>
    <s v="Rahul"/>
    <x v="3"/>
    <x v="0"/>
    <x v="0"/>
    <n v="6"/>
    <n v="55000"/>
    <n v="20"/>
    <x v="18"/>
    <n v="44262.25"/>
    <s v="High Profit"/>
    <n v="2025"/>
    <x v="0"/>
    <s v="Excellent"/>
    <n v="66000"/>
    <n v="0"/>
    <m/>
    <m/>
  </r>
  <r>
    <n v="1466"/>
    <x v="37"/>
    <s v="Rahul"/>
    <x v="0"/>
    <x v="0"/>
    <x v="0"/>
    <n v="6"/>
    <n v="55000"/>
    <n v="20"/>
    <x v="18"/>
    <n v="43383.11"/>
    <s v="High Profit"/>
    <n v="2025"/>
    <x v="9"/>
    <s v="Excellent"/>
    <n v="66000"/>
    <n v="0"/>
    <m/>
    <m/>
  </r>
  <r>
    <n v="1235"/>
    <x v="38"/>
    <s v="Mrunali"/>
    <x v="3"/>
    <x v="0"/>
    <x v="0"/>
    <n v="5"/>
    <n v="55000"/>
    <n v="5"/>
    <x v="19"/>
    <n v="22426.13"/>
    <s v="High Profit"/>
    <n v="2025"/>
    <x v="9"/>
    <s v="Excellent"/>
    <n v="13750"/>
    <n v="0"/>
    <m/>
    <m/>
  </r>
  <r>
    <n v="1233"/>
    <x v="39"/>
    <s v="Amit"/>
    <x v="2"/>
    <x v="0"/>
    <x v="0"/>
    <n v="5"/>
    <n v="55000"/>
    <n v="10"/>
    <x v="20"/>
    <n v="48235.82"/>
    <s v="High Profit"/>
    <n v="2025"/>
    <x v="8"/>
    <s v="Excellent"/>
    <n v="27500"/>
    <n v="0"/>
    <m/>
    <m/>
  </r>
  <r>
    <n v="1313"/>
    <x v="40"/>
    <s v="Mrunali"/>
    <x v="0"/>
    <x v="0"/>
    <x v="0"/>
    <n v="5"/>
    <n v="55000"/>
    <n v="10"/>
    <x v="20"/>
    <n v="20285.97"/>
    <s v="High Profit"/>
    <n v="2025"/>
    <x v="8"/>
    <s v="Excellent"/>
    <n v="27500"/>
    <n v="0"/>
    <m/>
    <m/>
  </r>
  <r>
    <n v="1445"/>
    <x v="41"/>
    <s v="Anjali"/>
    <x v="3"/>
    <x v="0"/>
    <x v="0"/>
    <n v="5"/>
    <n v="55000"/>
    <n v="10"/>
    <x v="20"/>
    <n v="33319.07"/>
    <s v="High Profit"/>
    <n v="2026"/>
    <x v="7"/>
    <s v="Excellent"/>
    <n v="27500"/>
    <n v="0"/>
    <m/>
    <m/>
  </r>
  <r>
    <n v="1257"/>
    <x v="42"/>
    <s v="Kiran"/>
    <x v="2"/>
    <x v="0"/>
    <x v="0"/>
    <n v="5"/>
    <n v="55000"/>
    <n v="15"/>
    <x v="21"/>
    <n v="55194.76"/>
    <s v="High Profit"/>
    <n v="2026"/>
    <x v="5"/>
    <s v="Excellent"/>
    <n v="41250"/>
    <n v="0"/>
    <m/>
    <m/>
  </r>
  <r>
    <n v="1271"/>
    <x v="43"/>
    <s v="Anjali"/>
    <x v="2"/>
    <x v="0"/>
    <x v="0"/>
    <n v="5"/>
    <n v="55000"/>
    <n v="15"/>
    <x v="21"/>
    <n v="24803.13"/>
    <s v="High Profit"/>
    <n v="2025"/>
    <x v="8"/>
    <s v="Excellent"/>
    <n v="41250"/>
    <n v="0"/>
    <m/>
    <m/>
  </r>
  <r>
    <n v="1032"/>
    <x v="44"/>
    <s v="Rohan"/>
    <x v="0"/>
    <x v="0"/>
    <x v="0"/>
    <n v="4"/>
    <n v="55000"/>
    <n v="0"/>
    <x v="22"/>
    <n v="38087.18"/>
    <s v="High Profit"/>
    <n v="2025"/>
    <x v="10"/>
    <s v="Excellent"/>
    <n v="0"/>
    <n v="0"/>
    <m/>
    <m/>
  </r>
  <r>
    <n v="1082"/>
    <x v="45"/>
    <s v="Rohan"/>
    <x v="1"/>
    <x v="0"/>
    <x v="0"/>
    <n v="4"/>
    <n v="55000"/>
    <n v="0"/>
    <x v="22"/>
    <n v="43286.11"/>
    <s v="High Profit"/>
    <n v="2026"/>
    <x v="7"/>
    <s v="Excellent"/>
    <n v="0"/>
    <n v="0"/>
    <m/>
    <m/>
  </r>
  <r>
    <n v="1096"/>
    <x v="46"/>
    <s v="Rahul"/>
    <x v="1"/>
    <x v="0"/>
    <x v="0"/>
    <n v="4"/>
    <n v="55000"/>
    <n v="0"/>
    <x v="22"/>
    <n v="47399.199999999997"/>
    <s v="High Profit"/>
    <n v="2025"/>
    <x v="7"/>
    <s v="Excellent"/>
    <n v="0"/>
    <n v="0"/>
    <m/>
    <m/>
  </r>
  <r>
    <n v="1098"/>
    <x v="47"/>
    <s v="Anjali"/>
    <x v="3"/>
    <x v="0"/>
    <x v="0"/>
    <n v="5"/>
    <n v="55000"/>
    <n v="20"/>
    <x v="22"/>
    <n v="34562.19"/>
    <s v="High Profit"/>
    <n v="2025"/>
    <x v="4"/>
    <s v="Excellent"/>
    <n v="55000"/>
    <n v="0"/>
    <m/>
    <m/>
  </r>
  <r>
    <n v="1366"/>
    <x v="48"/>
    <s v="Amit"/>
    <x v="0"/>
    <x v="0"/>
    <x v="0"/>
    <n v="4"/>
    <n v="55000"/>
    <n v="0"/>
    <x v="22"/>
    <n v="30141.18"/>
    <s v="High Profit"/>
    <n v="2025"/>
    <x v="4"/>
    <s v="Excellent"/>
    <n v="0"/>
    <n v="0"/>
    <m/>
    <m/>
  </r>
  <r>
    <n v="1057"/>
    <x v="9"/>
    <s v="Amit"/>
    <x v="3"/>
    <x v="0"/>
    <x v="0"/>
    <n v="4"/>
    <n v="55000"/>
    <n v="5"/>
    <x v="23"/>
    <n v="43777.440000000002"/>
    <s v="High Profit"/>
    <n v="2025"/>
    <x v="2"/>
    <s v="Excellent"/>
    <n v="11000"/>
    <n v="0"/>
    <m/>
    <m/>
  </r>
  <r>
    <n v="1241"/>
    <x v="49"/>
    <s v="Rohan"/>
    <x v="2"/>
    <x v="0"/>
    <x v="0"/>
    <n v="4"/>
    <n v="55000"/>
    <n v="5"/>
    <x v="23"/>
    <n v="31152.86"/>
    <s v="High Profit"/>
    <n v="2025"/>
    <x v="11"/>
    <s v="Excellent"/>
    <n v="11000"/>
    <n v="0"/>
    <m/>
    <m/>
  </r>
  <r>
    <n v="1308"/>
    <x v="50"/>
    <s v="Rohan"/>
    <x v="3"/>
    <x v="0"/>
    <x v="0"/>
    <n v="4"/>
    <n v="55000"/>
    <n v="10"/>
    <x v="24"/>
    <n v="27699.25"/>
    <s v="High Profit"/>
    <n v="2025"/>
    <x v="2"/>
    <s v="Excellent"/>
    <n v="22000"/>
    <n v="0"/>
    <m/>
    <m/>
  </r>
  <r>
    <n v="1265"/>
    <x v="51"/>
    <s v="Priya"/>
    <x v="0"/>
    <x v="0"/>
    <x v="0"/>
    <n v="4"/>
    <n v="55000"/>
    <n v="15"/>
    <x v="25"/>
    <n v="31196.92"/>
    <s v="High Profit"/>
    <n v="2025"/>
    <x v="0"/>
    <s v="Excellent"/>
    <n v="33000"/>
    <n v="0"/>
    <m/>
    <m/>
  </r>
  <r>
    <n v="1410"/>
    <x v="52"/>
    <s v="Rahul"/>
    <x v="0"/>
    <x v="0"/>
    <x v="0"/>
    <n v="4"/>
    <n v="55000"/>
    <n v="20"/>
    <x v="26"/>
    <n v="17707.72"/>
    <s v="High Profit"/>
    <n v="2025"/>
    <x v="1"/>
    <s v="Excellent"/>
    <n v="44000"/>
    <n v="0"/>
    <m/>
    <m/>
  </r>
  <r>
    <n v="1062"/>
    <x v="53"/>
    <s v="Kiran"/>
    <x v="3"/>
    <x v="0"/>
    <x v="0"/>
    <n v="3"/>
    <n v="55000"/>
    <n v="0"/>
    <x v="27"/>
    <n v="14823.7"/>
    <s v="Low Profit"/>
    <n v="2025"/>
    <x v="5"/>
    <s v="Excellent"/>
    <n v="0"/>
    <n v="0"/>
    <m/>
    <m/>
  </r>
  <r>
    <n v="1406"/>
    <x v="39"/>
    <s v="Amit"/>
    <x v="0"/>
    <x v="0"/>
    <x v="0"/>
    <n v="3"/>
    <n v="55000"/>
    <n v="0"/>
    <x v="27"/>
    <n v="16849.13"/>
    <s v="High Profit"/>
    <n v="2025"/>
    <x v="8"/>
    <s v="Excellent"/>
    <n v="0"/>
    <n v="0"/>
    <m/>
    <m/>
  </r>
  <r>
    <n v="1192"/>
    <x v="54"/>
    <s v="Neha"/>
    <x v="1"/>
    <x v="0"/>
    <x v="0"/>
    <n v="3"/>
    <n v="55000"/>
    <n v="5"/>
    <x v="28"/>
    <n v="22150.720000000001"/>
    <s v="High Profit"/>
    <n v="2026"/>
    <x v="7"/>
    <s v="Excellent"/>
    <n v="8250"/>
    <n v="0"/>
    <m/>
    <m/>
  </r>
  <r>
    <n v="1149"/>
    <x v="55"/>
    <s v="Amit"/>
    <x v="2"/>
    <x v="0"/>
    <x v="0"/>
    <n v="3"/>
    <n v="55000"/>
    <n v="10"/>
    <x v="29"/>
    <n v="12177.11"/>
    <s v="Low Profit"/>
    <n v="2026"/>
    <x v="3"/>
    <s v="Excellent"/>
    <n v="16500"/>
    <n v="0"/>
    <m/>
    <m/>
  </r>
  <r>
    <n v="1196"/>
    <x v="56"/>
    <s v="Rahul"/>
    <x v="3"/>
    <x v="0"/>
    <x v="0"/>
    <n v="3"/>
    <n v="55000"/>
    <n v="10"/>
    <x v="29"/>
    <n v="33402.120000000003"/>
    <s v="High Profit"/>
    <n v="2026"/>
    <x v="6"/>
    <s v="Excellent"/>
    <n v="16500"/>
    <n v="0"/>
    <m/>
    <m/>
  </r>
  <r>
    <n v="1288"/>
    <x v="57"/>
    <s v="Vikas"/>
    <x v="0"/>
    <x v="0"/>
    <x v="0"/>
    <n v="3"/>
    <n v="55000"/>
    <n v="15"/>
    <x v="30"/>
    <n v="25913.3"/>
    <s v="High Profit"/>
    <n v="2026"/>
    <x v="3"/>
    <s v="Excellent"/>
    <n v="24750"/>
    <n v="0"/>
    <m/>
    <m/>
  </r>
  <r>
    <n v="1321"/>
    <x v="58"/>
    <s v="Anjali"/>
    <x v="2"/>
    <x v="0"/>
    <x v="0"/>
    <n v="3"/>
    <n v="55000"/>
    <n v="15"/>
    <x v="30"/>
    <n v="34986.76"/>
    <s v="High Profit"/>
    <n v="2025"/>
    <x v="9"/>
    <s v="Excellent"/>
    <n v="24750"/>
    <n v="0"/>
    <m/>
    <m/>
  </r>
  <r>
    <n v="1324"/>
    <x v="59"/>
    <s v="Amit"/>
    <x v="2"/>
    <x v="0"/>
    <x v="0"/>
    <n v="3"/>
    <n v="55000"/>
    <n v="15"/>
    <x v="30"/>
    <n v="22723.7"/>
    <s v="High Profit"/>
    <n v="2025"/>
    <x v="8"/>
    <s v="Excellent"/>
    <n v="24750"/>
    <n v="0"/>
    <m/>
    <m/>
  </r>
  <r>
    <n v="1301"/>
    <x v="60"/>
    <s v="Anjali"/>
    <x v="0"/>
    <x v="0"/>
    <x v="0"/>
    <n v="3"/>
    <n v="55000"/>
    <n v="20"/>
    <x v="31"/>
    <n v="19882.12"/>
    <s v="High Profit"/>
    <n v="2025"/>
    <x v="0"/>
    <s v="Excellent"/>
    <n v="33000"/>
    <n v="0"/>
    <m/>
    <m/>
  </r>
  <r>
    <n v="1320"/>
    <x v="61"/>
    <s v="Mrunali"/>
    <x v="2"/>
    <x v="0"/>
    <x v="0"/>
    <n v="3"/>
    <n v="55000"/>
    <n v="20"/>
    <x v="31"/>
    <n v="19952.599999999999"/>
    <s v="High Profit"/>
    <n v="2026"/>
    <x v="1"/>
    <s v="Excellent"/>
    <n v="33000"/>
    <n v="0"/>
    <m/>
    <m/>
  </r>
  <r>
    <n v="1162"/>
    <x v="62"/>
    <s v="Rohan"/>
    <x v="1"/>
    <x v="1"/>
    <x v="0"/>
    <n v="10"/>
    <n v="12000"/>
    <n v="0"/>
    <x v="32"/>
    <n v="25916.29"/>
    <s v="High Profit"/>
    <n v="2025"/>
    <x v="10"/>
    <s v="Excellent"/>
    <n v="0"/>
    <n v="0"/>
    <m/>
    <m/>
  </r>
  <r>
    <n v="1378"/>
    <x v="63"/>
    <s v="Kiran"/>
    <x v="1"/>
    <x v="1"/>
    <x v="0"/>
    <n v="10"/>
    <n v="12000"/>
    <n v="0"/>
    <x v="32"/>
    <n v="28990.18"/>
    <s v="High Profit"/>
    <n v="2025"/>
    <x v="6"/>
    <s v="Excellent"/>
    <n v="0"/>
    <n v="0"/>
    <m/>
    <m/>
  </r>
  <r>
    <n v="1071"/>
    <x v="64"/>
    <s v="Rohan"/>
    <x v="2"/>
    <x v="1"/>
    <x v="0"/>
    <n v="10"/>
    <n v="12000"/>
    <n v="5"/>
    <x v="33"/>
    <n v="27341.82"/>
    <s v="High Profit"/>
    <n v="2025"/>
    <x v="3"/>
    <s v="Excellent"/>
    <n v="6000"/>
    <n v="0"/>
    <m/>
    <m/>
  </r>
  <r>
    <n v="1251"/>
    <x v="65"/>
    <s v="Priya"/>
    <x v="1"/>
    <x v="1"/>
    <x v="0"/>
    <n v="10"/>
    <n v="12000"/>
    <n v="5"/>
    <x v="33"/>
    <n v="9843.27"/>
    <s v="Low Profit"/>
    <n v="2025"/>
    <x v="7"/>
    <s v="Excellent"/>
    <n v="6000"/>
    <n v="0"/>
    <m/>
    <m/>
  </r>
  <r>
    <n v="1423"/>
    <x v="66"/>
    <s v="Neha"/>
    <x v="1"/>
    <x v="1"/>
    <x v="0"/>
    <n v="10"/>
    <n v="12000"/>
    <n v="5"/>
    <x v="33"/>
    <n v="12379.41"/>
    <s v="Low Profit"/>
    <n v="2025"/>
    <x v="5"/>
    <s v="Excellent"/>
    <n v="6000"/>
    <n v="0"/>
    <m/>
    <m/>
  </r>
  <r>
    <n v="1446"/>
    <x v="67"/>
    <s v="Kiran"/>
    <x v="1"/>
    <x v="1"/>
    <x v="0"/>
    <n v="10"/>
    <n v="12000"/>
    <n v="5"/>
    <x v="33"/>
    <n v="23480.7"/>
    <s v="High Profit"/>
    <n v="2025"/>
    <x v="7"/>
    <s v="Excellent"/>
    <n v="6000"/>
    <n v="0"/>
    <m/>
    <m/>
  </r>
  <r>
    <n v="1183"/>
    <x v="68"/>
    <s v="Mrunali"/>
    <x v="0"/>
    <x v="1"/>
    <x v="0"/>
    <n v="9"/>
    <n v="12000"/>
    <n v="0"/>
    <x v="34"/>
    <n v="20309.740000000002"/>
    <s v="High Profit"/>
    <n v="2025"/>
    <x v="8"/>
    <s v="Excellent"/>
    <n v="0"/>
    <n v="0"/>
    <m/>
    <m/>
  </r>
  <r>
    <n v="1287"/>
    <x v="69"/>
    <s v="Mrunali"/>
    <x v="1"/>
    <x v="1"/>
    <x v="0"/>
    <n v="9"/>
    <n v="12000"/>
    <n v="0"/>
    <x v="34"/>
    <n v="20283.490000000002"/>
    <s v="High Profit"/>
    <n v="2025"/>
    <x v="3"/>
    <s v="Excellent"/>
    <n v="0"/>
    <n v="0"/>
    <m/>
    <m/>
  </r>
  <r>
    <n v="1312"/>
    <x v="5"/>
    <s v="Priya"/>
    <x v="1"/>
    <x v="1"/>
    <x v="0"/>
    <n v="10"/>
    <n v="12000"/>
    <n v="10"/>
    <x v="34"/>
    <n v="21069.66"/>
    <s v="High Profit"/>
    <n v="2025"/>
    <x v="5"/>
    <s v="Excellent"/>
    <n v="12000"/>
    <n v="0"/>
    <m/>
    <m/>
  </r>
  <r>
    <n v="1428"/>
    <x v="70"/>
    <s v="Sneha"/>
    <x v="2"/>
    <x v="1"/>
    <x v="0"/>
    <n v="10"/>
    <n v="12000"/>
    <n v="10"/>
    <x v="34"/>
    <n v="13078.82"/>
    <s v="Low Profit"/>
    <n v="2025"/>
    <x v="0"/>
    <s v="Excellent"/>
    <n v="12000"/>
    <n v="0"/>
    <m/>
    <m/>
  </r>
  <r>
    <n v="1465"/>
    <x v="71"/>
    <s v="Sneha"/>
    <x v="3"/>
    <x v="0"/>
    <x v="0"/>
    <n v="2"/>
    <n v="55000"/>
    <n v="5"/>
    <x v="35"/>
    <n v="12971.82"/>
    <s v="Low Profit"/>
    <n v="2025"/>
    <x v="9"/>
    <s v="Excellent"/>
    <n v="5500"/>
    <n v="0"/>
    <m/>
    <m/>
  </r>
  <r>
    <n v="1304"/>
    <x v="72"/>
    <s v="Vikas"/>
    <x v="0"/>
    <x v="1"/>
    <x v="0"/>
    <n v="9"/>
    <n v="12000"/>
    <n v="5"/>
    <x v="36"/>
    <n v="11464.59"/>
    <s v="Low Profit"/>
    <n v="2025"/>
    <x v="11"/>
    <s v="Excellent"/>
    <n v="5400"/>
    <n v="0"/>
    <m/>
    <m/>
  </r>
  <r>
    <n v="1330"/>
    <x v="45"/>
    <s v="Rohan"/>
    <x v="3"/>
    <x v="1"/>
    <x v="0"/>
    <n v="9"/>
    <n v="12000"/>
    <n v="5"/>
    <x v="36"/>
    <n v="22310.25"/>
    <s v="High Profit"/>
    <n v="2026"/>
    <x v="7"/>
    <s v="Excellent"/>
    <n v="5400"/>
    <n v="0"/>
    <m/>
    <m/>
  </r>
  <r>
    <n v="1344"/>
    <x v="73"/>
    <s v="Sneha"/>
    <x v="0"/>
    <x v="1"/>
    <x v="0"/>
    <n v="9"/>
    <n v="12000"/>
    <n v="5"/>
    <x v="36"/>
    <n v="9444.73"/>
    <s v="Low Profit"/>
    <n v="2025"/>
    <x v="9"/>
    <s v="Excellent"/>
    <n v="5400"/>
    <n v="0"/>
    <m/>
    <m/>
  </r>
  <r>
    <n v="1348"/>
    <x v="74"/>
    <s v="Amit"/>
    <x v="2"/>
    <x v="1"/>
    <x v="0"/>
    <n v="9"/>
    <n v="12000"/>
    <n v="5"/>
    <x v="36"/>
    <n v="25061.79"/>
    <s v="High Profit"/>
    <n v="2025"/>
    <x v="3"/>
    <s v="Excellent"/>
    <n v="5400"/>
    <n v="0"/>
    <m/>
    <m/>
  </r>
  <r>
    <n v="1495"/>
    <x v="75"/>
    <s v="Priya"/>
    <x v="0"/>
    <x v="1"/>
    <x v="0"/>
    <n v="9"/>
    <n v="12000"/>
    <n v="5"/>
    <x v="36"/>
    <n v="9412.16"/>
    <s v="Low Profit"/>
    <n v="2025"/>
    <x v="7"/>
    <s v="Excellent"/>
    <n v="5400"/>
    <n v="0"/>
    <m/>
    <m/>
  </r>
  <r>
    <n v="1352"/>
    <x v="76"/>
    <s v="Vikas"/>
    <x v="3"/>
    <x v="0"/>
    <x v="0"/>
    <n v="2"/>
    <n v="55000"/>
    <n v="10"/>
    <x v="37"/>
    <n v="13738.93"/>
    <s v="Low Profit"/>
    <n v="2026"/>
    <x v="5"/>
    <s v="Good"/>
    <n v="11000"/>
    <n v="0"/>
    <m/>
    <m/>
  </r>
  <r>
    <n v="1110"/>
    <x v="77"/>
    <s v="Rahul"/>
    <x v="0"/>
    <x v="1"/>
    <x v="0"/>
    <n v="9"/>
    <n v="12000"/>
    <n v="10"/>
    <x v="38"/>
    <n v="15790.9"/>
    <s v="High Profit"/>
    <n v="2026"/>
    <x v="5"/>
    <s v="Good"/>
    <n v="10800"/>
    <n v="0"/>
    <m/>
    <m/>
  </r>
  <r>
    <n v="1137"/>
    <x v="78"/>
    <s v="Neha"/>
    <x v="0"/>
    <x v="1"/>
    <x v="0"/>
    <n v="9"/>
    <n v="12000"/>
    <n v="10"/>
    <x v="38"/>
    <n v="10647.39"/>
    <s v="Low Profit"/>
    <n v="2025"/>
    <x v="10"/>
    <s v="Good"/>
    <n v="10800"/>
    <n v="0"/>
    <m/>
    <m/>
  </r>
  <r>
    <n v="1342"/>
    <x v="79"/>
    <s v="Vikas"/>
    <x v="3"/>
    <x v="1"/>
    <x v="0"/>
    <n v="9"/>
    <n v="12000"/>
    <n v="10"/>
    <x v="38"/>
    <n v="15253.4"/>
    <s v="High Profit"/>
    <n v="2026"/>
    <x v="5"/>
    <s v="Good"/>
    <n v="10800"/>
    <n v="0"/>
    <m/>
    <m/>
  </r>
  <r>
    <n v="1095"/>
    <x v="80"/>
    <s v="Rohan"/>
    <x v="1"/>
    <x v="1"/>
    <x v="0"/>
    <n v="10"/>
    <n v="12000"/>
    <n v="20"/>
    <x v="39"/>
    <n v="17174.810000000001"/>
    <s v="High Profit"/>
    <n v="2026"/>
    <x v="5"/>
    <s v="Good"/>
    <n v="24000"/>
    <n v="0"/>
    <m/>
    <m/>
  </r>
  <r>
    <n v="1130"/>
    <x v="81"/>
    <s v="Anjali"/>
    <x v="1"/>
    <x v="1"/>
    <x v="0"/>
    <n v="8"/>
    <n v="12000"/>
    <n v="0"/>
    <x v="39"/>
    <n v="11440.22"/>
    <s v="Low Profit"/>
    <n v="2026"/>
    <x v="5"/>
    <s v="Good"/>
    <n v="0"/>
    <n v="0"/>
    <m/>
    <m/>
  </r>
  <r>
    <n v="1302"/>
    <x v="82"/>
    <s v="Anjali"/>
    <x v="3"/>
    <x v="1"/>
    <x v="0"/>
    <n v="8"/>
    <n v="12000"/>
    <n v="0"/>
    <x v="39"/>
    <n v="10275.94"/>
    <s v="Low Profit"/>
    <n v="2025"/>
    <x v="11"/>
    <s v="Good"/>
    <n v="0"/>
    <n v="0"/>
    <m/>
    <m/>
  </r>
  <r>
    <n v="1126"/>
    <x v="83"/>
    <s v="Rohan"/>
    <x v="2"/>
    <x v="0"/>
    <x v="0"/>
    <n v="2"/>
    <n v="55000"/>
    <n v="15"/>
    <x v="40"/>
    <n v="17801.830000000002"/>
    <s v="High Profit"/>
    <n v="2026"/>
    <x v="7"/>
    <s v="Good"/>
    <n v="16500"/>
    <n v="0"/>
    <m/>
    <m/>
  </r>
  <r>
    <n v="1223"/>
    <x v="84"/>
    <s v="Rohan"/>
    <x v="2"/>
    <x v="0"/>
    <x v="0"/>
    <n v="2"/>
    <n v="55000"/>
    <n v="15"/>
    <x v="40"/>
    <n v="10110.719999999999"/>
    <s v="Low Profit"/>
    <n v="2025"/>
    <x v="7"/>
    <s v="Good"/>
    <n v="16500"/>
    <n v="0"/>
    <m/>
    <m/>
  </r>
  <r>
    <n v="1244"/>
    <x v="79"/>
    <s v="Rohan"/>
    <x v="0"/>
    <x v="0"/>
    <x v="0"/>
    <n v="2"/>
    <n v="55000"/>
    <n v="15"/>
    <x v="40"/>
    <n v="21754.78"/>
    <s v="High Profit"/>
    <n v="2026"/>
    <x v="5"/>
    <s v="Good"/>
    <n v="16500"/>
    <n v="0"/>
    <m/>
    <m/>
  </r>
  <r>
    <n v="1379"/>
    <x v="85"/>
    <s v="Kiran"/>
    <x v="3"/>
    <x v="1"/>
    <x v="0"/>
    <n v="9"/>
    <n v="12000"/>
    <n v="15"/>
    <x v="41"/>
    <n v="12222.5"/>
    <s v="Low Profit"/>
    <n v="2025"/>
    <x v="6"/>
    <s v="Good"/>
    <n v="16200"/>
    <n v="0"/>
    <m/>
    <m/>
  </r>
  <r>
    <n v="1400"/>
    <x v="86"/>
    <s v="Sneha"/>
    <x v="0"/>
    <x v="1"/>
    <x v="0"/>
    <n v="8"/>
    <n v="12000"/>
    <n v="5"/>
    <x v="42"/>
    <n v="14584.49"/>
    <s v="Low Profit"/>
    <n v="2026"/>
    <x v="6"/>
    <s v="Good"/>
    <n v="4800"/>
    <n v="0"/>
    <m/>
    <m/>
  </r>
  <r>
    <n v="1019"/>
    <x v="87"/>
    <s v="Rohan"/>
    <x v="2"/>
    <x v="2"/>
    <x v="0"/>
    <n v="10"/>
    <n v="9000"/>
    <n v="0"/>
    <x v="43"/>
    <n v="14385.52"/>
    <s v="Low Profit"/>
    <n v="2026"/>
    <x v="5"/>
    <s v="Good"/>
    <n v="0"/>
    <n v="0"/>
    <m/>
    <m/>
  </r>
  <r>
    <n v="1249"/>
    <x v="43"/>
    <s v="Priya"/>
    <x v="2"/>
    <x v="2"/>
    <x v="0"/>
    <n v="10"/>
    <n v="9000"/>
    <n v="0"/>
    <x v="43"/>
    <n v="13485.82"/>
    <s v="Low Profit"/>
    <n v="2025"/>
    <x v="8"/>
    <s v="Good"/>
    <n v="0"/>
    <n v="0"/>
    <m/>
    <m/>
  </r>
  <r>
    <n v="1105"/>
    <x v="88"/>
    <s v="Kiran"/>
    <x v="1"/>
    <x v="0"/>
    <x v="0"/>
    <n v="2"/>
    <n v="55000"/>
    <n v="20"/>
    <x v="44"/>
    <n v="10362.1"/>
    <s v="Low Profit"/>
    <n v="2025"/>
    <x v="11"/>
    <s v="Good"/>
    <n v="22000"/>
    <n v="0"/>
    <m/>
    <m/>
  </r>
  <r>
    <n v="1008"/>
    <x v="89"/>
    <s v="Mrunali"/>
    <x v="0"/>
    <x v="1"/>
    <x v="0"/>
    <n v="8"/>
    <n v="12000"/>
    <n v="10"/>
    <x v="45"/>
    <n v="16894.59"/>
    <s v="High Profit"/>
    <n v="2025"/>
    <x v="1"/>
    <s v="Good"/>
    <n v="9600"/>
    <n v="0"/>
    <m/>
    <m/>
  </r>
  <r>
    <n v="1146"/>
    <x v="90"/>
    <s v="Mrunali"/>
    <x v="3"/>
    <x v="1"/>
    <x v="0"/>
    <n v="8"/>
    <n v="12000"/>
    <n v="10"/>
    <x v="45"/>
    <n v="12484.95"/>
    <s v="Low Profit"/>
    <n v="2025"/>
    <x v="6"/>
    <s v="Good"/>
    <n v="9600"/>
    <n v="0"/>
    <m/>
    <m/>
  </r>
  <r>
    <n v="1118"/>
    <x v="91"/>
    <s v="Neha"/>
    <x v="2"/>
    <x v="2"/>
    <x v="0"/>
    <n v="10"/>
    <n v="9000"/>
    <n v="5"/>
    <x v="46"/>
    <n v="7405.86"/>
    <s v="Low Profit"/>
    <n v="2025"/>
    <x v="4"/>
    <s v="Good"/>
    <n v="4500"/>
    <n v="0"/>
    <m/>
    <m/>
  </r>
  <r>
    <n v="1392"/>
    <x v="82"/>
    <s v="Anjali"/>
    <x v="2"/>
    <x v="1"/>
    <x v="0"/>
    <n v="7"/>
    <n v="12000"/>
    <n v="0"/>
    <x v="47"/>
    <n v="20087.12"/>
    <s v="High Profit"/>
    <n v="2025"/>
    <x v="11"/>
    <s v="Good"/>
    <n v="0"/>
    <n v="0"/>
    <m/>
    <m/>
  </r>
  <r>
    <n v="1438"/>
    <x v="92"/>
    <s v="Priya"/>
    <x v="1"/>
    <x v="1"/>
    <x v="0"/>
    <n v="7"/>
    <n v="12000"/>
    <n v="0"/>
    <x v="47"/>
    <n v="7932.61"/>
    <s v="Low Profit"/>
    <n v="2025"/>
    <x v="7"/>
    <s v="Good"/>
    <n v="0"/>
    <n v="0"/>
    <m/>
    <m/>
  </r>
  <r>
    <n v="1490"/>
    <x v="93"/>
    <s v="Amit"/>
    <x v="0"/>
    <x v="1"/>
    <x v="0"/>
    <n v="7"/>
    <n v="12000"/>
    <n v="0"/>
    <x v="47"/>
    <n v="18157.62"/>
    <s v="High Profit"/>
    <n v="2026"/>
    <x v="7"/>
    <s v="Good"/>
    <n v="0"/>
    <n v="0"/>
    <m/>
    <m/>
  </r>
  <r>
    <n v="1458"/>
    <x v="94"/>
    <s v="Anjali"/>
    <x v="3"/>
    <x v="2"/>
    <x v="0"/>
    <n v="9"/>
    <n v="9000"/>
    <n v="0"/>
    <x v="48"/>
    <n v="9645.02"/>
    <s v="Low Profit"/>
    <n v="2025"/>
    <x v="2"/>
    <s v="Good"/>
    <n v="0"/>
    <n v="0"/>
    <m/>
    <m/>
  </r>
  <r>
    <n v="1311"/>
    <x v="95"/>
    <s v="Kiran"/>
    <x v="2"/>
    <x v="1"/>
    <x v="0"/>
    <n v="7"/>
    <n v="12000"/>
    <n v="5"/>
    <x v="49"/>
    <n v="8082.32"/>
    <s v="Low Profit"/>
    <n v="2026"/>
    <x v="5"/>
    <s v="Good"/>
    <n v="4200"/>
    <n v="0"/>
    <m/>
    <m/>
  </r>
  <r>
    <n v="1138"/>
    <x v="96"/>
    <s v="Mrunali"/>
    <x v="2"/>
    <x v="2"/>
    <x v="0"/>
    <n v="9"/>
    <n v="9000"/>
    <n v="5"/>
    <x v="50"/>
    <n v="9597.26"/>
    <s v="Low Profit"/>
    <n v="2025"/>
    <x v="4"/>
    <s v="Good"/>
    <n v="4050"/>
    <n v="0"/>
    <m/>
    <m/>
  </r>
  <r>
    <n v="1221"/>
    <x v="97"/>
    <s v="Kiran"/>
    <x v="0"/>
    <x v="1"/>
    <x v="0"/>
    <n v="8"/>
    <n v="12000"/>
    <n v="20"/>
    <x v="51"/>
    <n v="8524.59"/>
    <s v="Low Profit"/>
    <n v="2025"/>
    <x v="11"/>
    <s v="Good"/>
    <n v="19200"/>
    <n v="0"/>
    <m/>
    <m/>
  </r>
  <r>
    <n v="1092"/>
    <x v="98"/>
    <s v="Neha"/>
    <x v="3"/>
    <x v="2"/>
    <x v="0"/>
    <n v="10"/>
    <n v="9000"/>
    <n v="15"/>
    <x v="52"/>
    <n v="9011.4500000000007"/>
    <s v="Low Profit"/>
    <n v="2026"/>
    <x v="6"/>
    <s v="Good"/>
    <n v="13500"/>
    <n v="0"/>
    <m/>
    <m/>
  </r>
  <r>
    <n v="1181"/>
    <x v="99"/>
    <s v="Rohan"/>
    <x v="2"/>
    <x v="1"/>
    <x v="0"/>
    <n v="7"/>
    <n v="12000"/>
    <n v="10"/>
    <x v="53"/>
    <n v="15976.93"/>
    <s v="High Profit"/>
    <n v="2025"/>
    <x v="7"/>
    <s v="Good"/>
    <n v="8400"/>
    <n v="0"/>
    <m/>
    <m/>
  </r>
  <r>
    <n v="1289"/>
    <x v="3"/>
    <s v="Sneha"/>
    <x v="2"/>
    <x v="1"/>
    <x v="0"/>
    <n v="7"/>
    <n v="12000"/>
    <n v="10"/>
    <x v="53"/>
    <n v="11018.55"/>
    <s v="Low Profit"/>
    <n v="2026"/>
    <x v="3"/>
    <s v="Good"/>
    <n v="8400"/>
    <n v="0"/>
    <m/>
    <m/>
  </r>
  <r>
    <n v="1293"/>
    <x v="100"/>
    <s v="Anjali"/>
    <x v="1"/>
    <x v="1"/>
    <x v="0"/>
    <n v="7"/>
    <n v="12000"/>
    <n v="10"/>
    <x v="53"/>
    <n v="7838.34"/>
    <s v="Low Profit"/>
    <n v="2025"/>
    <x v="11"/>
    <s v="Good"/>
    <n v="8400"/>
    <n v="0"/>
    <m/>
    <m/>
  </r>
  <r>
    <n v="1202"/>
    <x v="101"/>
    <s v="Mrunali"/>
    <x v="1"/>
    <x v="2"/>
    <x v="0"/>
    <n v="9"/>
    <n v="9000"/>
    <n v="10"/>
    <x v="54"/>
    <n v="10607.48"/>
    <s v="Low Profit"/>
    <n v="2025"/>
    <x v="3"/>
    <s v="Good"/>
    <n v="8100"/>
    <n v="0"/>
    <m/>
    <m/>
  </r>
  <r>
    <n v="1363"/>
    <x v="102"/>
    <s v="Amit"/>
    <x v="0"/>
    <x v="2"/>
    <x v="0"/>
    <n v="9"/>
    <n v="9000"/>
    <n v="10"/>
    <x v="54"/>
    <n v="10318.86"/>
    <s v="Low Profit"/>
    <n v="2025"/>
    <x v="5"/>
    <s v="Good"/>
    <n v="8100"/>
    <n v="0"/>
    <m/>
    <m/>
  </r>
  <r>
    <n v="1013"/>
    <x v="41"/>
    <s v="Mrunali"/>
    <x v="2"/>
    <x v="2"/>
    <x v="0"/>
    <n v="8"/>
    <n v="9000"/>
    <n v="0"/>
    <x v="55"/>
    <n v="6499.44"/>
    <s v="Low Profit"/>
    <n v="2026"/>
    <x v="7"/>
    <s v="Good"/>
    <n v="0"/>
    <n v="0"/>
    <m/>
    <m/>
  </r>
  <r>
    <n v="1022"/>
    <x v="103"/>
    <s v="Priya"/>
    <x v="2"/>
    <x v="2"/>
    <x v="0"/>
    <n v="8"/>
    <n v="9000"/>
    <n v="0"/>
    <x v="55"/>
    <n v="7744.96"/>
    <s v="Low Profit"/>
    <n v="2026"/>
    <x v="5"/>
    <s v="Good"/>
    <n v="0"/>
    <n v="0"/>
    <m/>
    <m/>
  </r>
  <r>
    <n v="1140"/>
    <x v="104"/>
    <s v="Mrunali"/>
    <x v="0"/>
    <x v="2"/>
    <x v="0"/>
    <n v="10"/>
    <n v="9000"/>
    <n v="20"/>
    <x v="55"/>
    <n v="12202.61"/>
    <s v="Low Profit"/>
    <n v="2026"/>
    <x v="5"/>
    <s v="Good"/>
    <n v="18000"/>
    <n v="0"/>
    <m/>
    <m/>
  </r>
  <r>
    <n v="1159"/>
    <x v="105"/>
    <s v="Kiran"/>
    <x v="3"/>
    <x v="2"/>
    <x v="0"/>
    <n v="8"/>
    <n v="9000"/>
    <n v="0"/>
    <x v="55"/>
    <n v="16897.080000000002"/>
    <s v="High Profit"/>
    <n v="2026"/>
    <x v="6"/>
    <s v="Good"/>
    <n v="0"/>
    <n v="0"/>
    <m/>
    <m/>
  </r>
  <r>
    <n v="1208"/>
    <x v="106"/>
    <s v="Mrunali"/>
    <x v="1"/>
    <x v="1"/>
    <x v="0"/>
    <n v="6"/>
    <n v="12000"/>
    <n v="0"/>
    <x v="55"/>
    <n v="16617.38"/>
    <s v="High Profit"/>
    <n v="2025"/>
    <x v="8"/>
    <s v="Good"/>
    <n v="0"/>
    <n v="0"/>
    <m/>
    <m/>
  </r>
  <r>
    <n v="1307"/>
    <x v="107"/>
    <s v="Mrunali"/>
    <x v="3"/>
    <x v="2"/>
    <x v="0"/>
    <n v="8"/>
    <n v="9000"/>
    <n v="0"/>
    <x v="55"/>
    <n v="14892.65"/>
    <s v="Low Profit"/>
    <n v="2025"/>
    <x v="10"/>
    <s v="Good"/>
    <n v="0"/>
    <n v="0"/>
    <m/>
    <m/>
  </r>
  <r>
    <n v="1365"/>
    <x v="96"/>
    <s v="Kiran"/>
    <x v="1"/>
    <x v="1"/>
    <x v="0"/>
    <n v="6"/>
    <n v="12000"/>
    <n v="0"/>
    <x v="55"/>
    <n v="10012.969999999999"/>
    <s v="Low Profit"/>
    <n v="2025"/>
    <x v="4"/>
    <s v="Good"/>
    <n v="0"/>
    <n v="0"/>
    <m/>
    <m/>
  </r>
  <r>
    <n v="1280"/>
    <x v="108"/>
    <s v="Mrunali"/>
    <x v="2"/>
    <x v="1"/>
    <x v="0"/>
    <n v="7"/>
    <n v="12000"/>
    <n v="15"/>
    <x v="56"/>
    <n v="14937.86"/>
    <s v="Low Profit"/>
    <n v="2025"/>
    <x v="9"/>
    <s v="Good"/>
    <n v="12600"/>
    <n v="0"/>
    <m/>
    <m/>
  </r>
  <r>
    <n v="1473"/>
    <x v="109"/>
    <s v="Priya"/>
    <x v="2"/>
    <x v="1"/>
    <x v="0"/>
    <n v="7"/>
    <n v="12000"/>
    <n v="15"/>
    <x v="56"/>
    <n v="7425.96"/>
    <s v="Low Profit"/>
    <n v="2025"/>
    <x v="6"/>
    <s v="Good"/>
    <n v="12600"/>
    <n v="0"/>
    <m/>
    <m/>
  </r>
  <r>
    <n v="1020"/>
    <x v="110"/>
    <s v="Rahul"/>
    <x v="0"/>
    <x v="3"/>
    <x v="1"/>
    <n v="10"/>
    <n v="7000"/>
    <n v="0"/>
    <x v="57"/>
    <n v="13805.13"/>
    <s v="Low Profit"/>
    <n v="2025"/>
    <x v="7"/>
    <s v="Good"/>
    <n v="0"/>
    <n v="0"/>
    <m/>
    <m/>
  </r>
  <r>
    <n v="1216"/>
    <x v="111"/>
    <s v="Rohan"/>
    <x v="0"/>
    <x v="3"/>
    <x v="1"/>
    <n v="10"/>
    <n v="7000"/>
    <n v="0"/>
    <x v="57"/>
    <n v="9633.68"/>
    <s v="Low Profit"/>
    <n v="2025"/>
    <x v="4"/>
    <s v="Good"/>
    <n v="0"/>
    <n v="0"/>
    <m/>
    <m/>
  </r>
  <r>
    <n v="1306"/>
    <x v="112"/>
    <s v="Amit"/>
    <x v="2"/>
    <x v="2"/>
    <x v="0"/>
    <n v="9"/>
    <n v="9000"/>
    <n v="15"/>
    <x v="58"/>
    <n v="14280"/>
    <s v="Low Profit"/>
    <n v="2025"/>
    <x v="3"/>
    <s v="Good"/>
    <n v="12150"/>
    <n v="0"/>
    <m/>
    <m/>
  </r>
  <r>
    <n v="1067"/>
    <x v="113"/>
    <s v="Rohan"/>
    <x v="3"/>
    <x v="1"/>
    <x v="0"/>
    <n v="6"/>
    <n v="12000"/>
    <n v="5"/>
    <x v="59"/>
    <n v="7414.99"/>
    <s v="Low Profit"/>
    <n v="2025"/>
    <x v="0"/>
    <s v="Good"/>
    <n v="3600"/>
    <n v="0"/>
    <m/>
    <m/>
  </r>
  <r>
    <n v="1106"/>
    <x v="114"/>
    <s v="Priya"/>
    <x v="2"/>
    <x v="1"/>
    <x v="0"/>
    <n v="6"/>
    <n v="12000"/>
    <n v="5"/>
    <x v="59"/>
    <n v="6193.04"/>
    <s v="Low Profit"/>
    <n v="2026"/>
    <x v="1"/>
    <s v="Good"/>
    <n v="3600"/>
    <n v="0"/>
    <m/>
    <m/>
  </r>
  <r>
    <n v="1189"/>
    <x v="68"/>
    <s v="Sneha"/>
    <x v="0"/>
    <x v="1"/>
    <x v="0"/>
    <n v="6"/>
    <n v="12000"/>
    <n v="5"/>
    <x v="59"/>
    <n v="16470.27"/>
    <s v="High Profit"/>
    <n v="2025"/>
    <x v="8"/>
    <s v="Good"/>
    <n v="3600"/>
    <n v="0"/>
    <m/>
    <m/>
  </r>
  <r>
    <n v="1200"/>
    <x v="115"/>
    <s v="Kiran"/>
    <x v="2"/>
    <x v="2"/>
    <x v="0"/>
    <n v="8"/>
    <n v="9000"/>
    <n v="5"/>
    <x v="59"/>
    <n v="11186.78"/>
    <s v="Low Profit"/>
    <n v="2026"/>
    <x v="1"/>
    <s v="Good"/>
    <n v="3600"/>
    <n v="0"/>
    <m/>
    <m/>
  </r>
  <r>
    <n v="1359"/>
    <x v="78"/>
    <s v="Mrunali"/>
    <x v="1"/>
    <x v="1"/>
    <x v="0"/>
    <n v="6"/>
    <n v="12000"/>
    <n v="5"/>
    <x v="59"/>
    <n v="11794.95"/>
    <s v="Low Profit"/>
    <n v="2025"/>
    <x v="10"/>
    <s v="Good"/>
    <n v="3600"/>
    <n v="0"/>
    <m/>
    <m/>
  </r>
  <r>
    <n v="1405"/>
    <x v="58"/>
    <s v="Amit"/>
    <x v="3"/>
    <x v="1"/>
    <x v="0"/>
    <n v="6"/>
    <n v="12000"/>
    <n v="5"/>
    <x v="59"/>
    <n v="6946.94"/>
    <s v="Low Profit"/>
    <n v="2025"/>
    <x v="9"/>
    <s v="Good"/>
    <n v="3600"/>
    <n v="0"/>
    <m/>
    <m/>
  </r>
  <r>
    <n v="1447"/>
    <x v="116"/>
    <s v="Mrunali"/>
    <x v="0"/>
    <x v="1"/>
    <x v="0"/>
    <n v="7"/>
    <n v="12000"/>
    <n v="20"/>
    <x v="60"/>
    <n v="16671.66"/>
    <s v="High Profit"/>
    <n v="2026"/>
    <x v="1"/>
    <s v="Good"/>
    <n v="16800"/>
    <n v="0"/>
    <m/>
    <m/>
  </r>
  <r>
    <n v="1451"/>
    <x v="117"/>
    <s v="Priya"/>
    <x v="0"/>
    <x v="3"/>
    <x v="1"/>
    <n v="10"/>
    <n v="7000"/>
    <n v="5"/>
    <x v="61"/>
    <n v="6554.05"/>
    <s v="Low Profit"/>
    <n v="2025"/>
    <x v="9"/>
    <s v="Good"/>
    <n v="3500"/>
    <n v="0"/>
    <m/>
    <m/>
  </r>
  <r>
    <n v="1255"/>
    <x v="118"/>
    <s v="Mrunali"/>
    <x v="2"/>
    <x v="2"/>
    <x v="0"/>
    <n v="8"/>
    <n v="9000"/>
    <n v="10"/>
    <x v="62"/>
    <n v="13649.38"/>
    <s v="Low Profit"/>
    <n v="2025"/>
    <x v="1"/>
    <s v="Good"/>
    <n v="7200"/>
    <n v="0"/>
    <m/>
    <m/>
  </r>
  <r>
    <n v="1267"/>
    <x v="119"/>
    <s v="Vikas"/>
    <x v="3"/>
    <x v="1"/>
    <x v="0"/>
    <n v="6"/>
    <n v="12000"/>
    <n v="10"/>
    <x v="62"/>
    <n v="5282.43"/>
    <s v="Low Profit"/>
    <n v="2026"/>
    <x v="2"/>
    <s v="Good"/>
    <n v="7200"/>
    <n v="0"/>
    <m/>
    <m/>
  </r>
  <r>
    <n v="1286"/>
    <x v="120"/>
    <s v="Rahul"/>
    <x v="0"/>
    <x v="1"/>
    <x v="0"/>
    <n v="6"/>
    <n v="12000"/>
    <n v="10"/>
    <x v="62"/>
    <n v="13095.53"/>
    <s v="Low Profit"/>
    <n v="2025"/>
    <x v="2"/>
    <s v="Good"/>
    <n v="7200"/>
    <n v="0"/>
    <m/>
    <m/>
  </r>
  <r>
    <n v="1357"/>
    <x v="121"/>
    <s v="Neha"/>
    <x v="2"/>
    <x v="1"/>
    <x v="0"/>
    <n v="6"/>
    <n v="12000"/>
    <n v="10"/>
    <x v="62"/>
    <n v="6563.84"/>
    <s v="Low Profit"/>
    <n v="2025"/>
    <x v="1"/>
    <s v="Good"/>
    <n v="7200"/>
    <n v="0"/>
    <m/>
    <m/>
  </r>
  <r>
    <n v="1360"/>
    <x v="122"/>
    <s v="Sneha"/>
    <x v="1"/>
    <x v="2"/>
    <x v="0"/>
    <n v="9"/>
    <n v="9000"/>
    <n v="20"/>
    <x v="62"/>
    <n v="12605.66"/>
    <s v="Low Profit"/>
    <n v="2025"/>
    <x v="7"/>
    <s v="Good"/>
    <n v="16200"/>
    <n v="0"/>
    <m/>
    <m/>
  </r>
  <r>
    <n v="1413"/>
    <x v="123"/>
    <s v="Mrunali"/>
    <x v="2"/>
    <x v="1"/>
    <x v="0"/>
    <n v="6"/>
    <n v="12000"/>
    <n v="10"/>
    <x v="62"/>
    <n v="15533.58"/>
    <s v="High Profit"/>
    <n v="2026"/>
    <x v="2"/>
    <s v="Good"/>
    <n v="7200"/>
    <n v="0"/>
    <m/>
    <m/>
  </r>
  <r>
    <n v="1002"/>
    <x v="124"/>
    <s v="Amit"/>
    <x v="3"/>
    <x v="3"/>
    <x v="1"/>
    <n v="9"/>
    <n v="7000"/>
    <n v="0"/>
    <x v="63"/>
    <n v="7627.24"/>
    <s v="Low Profit"/>
    <n v="2025"/>
    <x v="5"/>
    <s v="Good"/>
    <n v="0"/>
    <n v="0"/>
    <m/>
    <m/>
  </r>
  <r>
    <n v="1101"/>
    <x v="125"/>
    <s v="Rohan"/>
    <x v="0"/>
    <x v="3"/>
    <x v="1"/>
    <n v="9"/>
    <n v="7000"/>
    <n v="0"/>
    <x v="63"/>
    <n v="6335.79"/>
    <s v="Low Profit"/>
    <n v="2026"/>
    <x v="5"/>
    <s v="Good"/>
    <n v="0"/>
    <n v="0"/>
    <m/>
    <m/>
  </r>
  <r>
    <n v="1156"/>
    <x v="68"/>
    <s v="Anjali"/>
    <x v="3"/>
    <x v="3"/>
    <x v="1"/>
    <n v="9"/>
    <n v="7000"/>
    <n v="0"/>
    <x v="63"/>
    <n v="12090.3"/>
    <s v="Low Profit"/>
    <n v="2025"/>
    <x v="8"/>
    <s v="Good"/>
    <n v="0"/>
    <n v="0"/>
    <m/>
    <m/>
  </r>
  <r>
    <n v="1281"/>
    <x v="115"/>
    <s v="Amit"/>
    <x v="1"/>
    <x v="3"/>
    <x v="1"/>
    <n v="9"/>
    <n v="7000"/>
    <n v="0"/>
    <x v="63"/>
    <n v="15578.98"/>
    <s v="High Profit"/>
    <n v="2026"/>
    <x v="1"/>
    <s v="Good"/>
    <n v="0"/>
    <n v="0"/>
    <m/>
    <m/>
  </r>
  <r>
    <n v="1305"/>
    <x v="126"/>
    <s v="Sneha"/>
    <x v="3"/>
    <x v="3"/>
    <x v="1"/>
    <n v="9"/>
    <n v="7000"/>
    <n v="0"/>
    <x v="63"/>
    <n v="10255.200000000001"/>
    <s v="Low Profit"/>
    <n v="2025"/>
    <x v="0"/>
    <s v="Good"/>
    <n v="0"/>
    <n v="0"/>
    <m/>
    <m/>
  </r>
  <r>
    <n v="1437"/>
    <x v="127"/>
    <s v="Neha"/>
    <x v="2"/>
    <x v="3"/>
    <x v="1"/>
    <n v="10"/>
    <n v="7000"/>
    <n v="10"/>
    <x v="63"/>
    <n v="6582.12"/>
    <s v="Low Profit"/>
    <n v="2025"/>
    <x v="11"/>
    <s v="Good"/>
    <n v="7000"/>
    <n v="0"/>
    <m/>
    <m/>
  </r>
  <r>
    <n v="1459"/>
    <x v="128"/>
    <s v="Amit"/>
    <x v="3"/>
    <x v="2"/>
    <x v="0"/>
    <n v="7"/>
    <n v="9000"/>
    <n v="0"/>
    <x v="63"/>
    <n v="10564.85"/>
    <s v="Low Profit"/>
    <n v="2025"/>
    <x v="8"/>
    <s v="Good"/>
    <n v="0"/>
    <n v="0"/>
    <m/>
    <m/>
  </r>
  <r>
    <n v="1021"/>
    <x v="129"/>
    <s v="Rahul"/>
    <x v="0"/>
    <x v="2"/>
    <x v="0"/>
    <n v="8"/>
    <n v="9000"/>
    <n v="15"/>
    <x v="64"/>
    <n v="5803.71"/>
    <s v="Low Profit"/>
    <n v="2025"/>
    <x v="11"/>
    <s v="Good"/>
    <n v="10800"/>
    <n v="0"/>
    <m/>
    <m/>
  </r>
  <r>
    <n v="1065"/>
    <x v="130"/>
    <s v="Sneha"/>
    <x v="2"/>
    <x v="2"/>
    <x v="0"/>
    <n v="8"/>
    <n v="9000"/>
    <n v="15"/>
    <x v="64"/>
    <n v="8892.92"/>
    <s v="Low Profit"/>
    <n v="2025"/>
    <x v="6"/>
    <s v="Good"/>
    <n v="10800"/>
    <n v="0"/>
    <m/>
    <m/>
  </r>
  <r>
    <n v="1160"/>
    <x v="131"/>
    <s v="Priya"/>
    <x v="0"/>
    <x v="2"/>
    <x v="0"/>
    <n v="8"/>
    <n v="9000"/>
    <n v="15"/>
    <x v="64"/>
    <n v="7833.21"/>
    <s v="Low Profit"/>
    <n v="2025"/>
    <x v="0"/>
    <s v="Good"/>
    <n v="10800"/>
    <n v="0"/>
    <m/>
    <m/>
  </r>
  <r>
    <n v="1372"/>
    <x v="132"/>
    <s v="Vikas"/>
    <x v="3"/>
    <x v="1"/>
    <x v="0"/>
    <n v="6"/>
    <n v="12000"/>
    <n v="15"/>
    <x v="64"/>
    <n v="10939.01"/>
    <s v="Low Profit"/>
    <n v="2025"/>
    <x v="11"/>
    <s v="Good"/>
    <n v="10800"/>
    <n v="0"/>
    <m/>
    <m/>
  </r>
  <r>
    <n v="1431"/>
    <x v="133"/>
    <s v="Anjali"/>
    <x v="1"/>
    <x v="2"/>
    <x v="0"/>
    <n v="8"/>
    <n v="9000"/>
    <n v="15"/>
    <x v="64"/>
    <n v="15089.71"/>
    <s v="High Profit"/>
    <n v="2025"/>
    <x v="2"/>
    <s v="Good"/>
    <n v="10800"/>
    <n v="0"/>
    <m/>
    <m/>
  </r>
  <r>
    <n v="1467"/>
    <x v="134"/>
    <s v="Kiran"/>
    <x v="2"/>
    <x v="2"/>
    <x v="0"/>
    <n v="8"/>
    <n v="9000"/>
    <n v="15"/>
    <x v="64"/>
    <n v="7281.58"/>
    <s v="Low Profit"/>
    <n v="2025"/>
    <x v="3"/>
    <s v="Good"/>
    <n v="10800"/>
    <n v="0"/>
    <m/>
    <m/>
  </r>
  <r>
    <n v="1078"/>
    <x v="135"/>
    <s v="Rohan"/>
    <x v="1"/>
    <x v="1"/>
    <x v="0"/>
    <n v="5"/>
    <n v="12000"/>
    <n v="0"/>
    <x v="65"/>
    <n v="14025.31"/>
    <s v="Low Profit"/>
    <n v="2025"/>
    <x v="10"/>
    <s v="Good"/>
    <n v="0"/>
    <n v="0"/>
    <m/>
    <m/>
  </r>
  <r>
    <n v="1090"/>
    <x v="136"/>
    <s v="Vikas"/>
    <x v="2"/>
    <x v="1"/>
    <x v="0"/>
    <n v="5"/>
    <n v="12000"/>
    <n v="0"/>
    <x v="65"/>
    <n v="5011.51"/>
    <s v="Low Profit"/>
    <n v="2025"/>
    <x v="2"/>
    <s v="Good"/>
    <n v="0"/>
    <n v="0"/>
    <m/>
    <m/>
  </r>
  <r>
    <n v="1179"/>
    <x v="137"/>
    <s v="Neha"/>
    <x v="0"/>
    <x v="1"/>
    <x v="0"/>
    <n v="5"/>
    <n v="12000"/>
    <n v="0"/>
    <x v="65"/>
    <n v="14927.09"/>
    <s v="Low Profit"/>
    <n v="2025"/>
    <x v="1"/>
    <s v="Good"/>
    <n v="0"/>
    <n v="0"/>
    <m/>
    <m/>
  </r>
  <r>
    <n v="1188"/>
    <x v="138"/>
    <s v="Anjali"/>
    <x v="1"/>
    <x v="1"/>
    <x v="0"/>
    <n v="5"/>
    <n v="12000"/>
    <n v="0"/>
    <x v="65"/>
    <n v="13676.39"/>
    <s v="Low Profit"/>
    <n v="2026"/>
    <x v="7"/>
    <s v="Good"/>
    <n v="0"/>
    <n v="0"/>
    <m/>
    <m/>
  </r>
  <r>
    <n v="1449"/>
    <x v="139"/>
    <s v="Vikas"/>
    <x v="1"/>
    <x v="1"/>
    <x v="0"/>
    <n v="5"/>
    <n v="12000"/>
    <n v="0"/>
    <x v="65"/>
    <n v="12188.74"/>
    <s v="Low Profit"/>
    <n v="2026"/>
    <x v="5"/>
    <s v="Good"/>
    <n v="0"/>
    <n v="0"/>
    <m/>
    <m/>
  </r>
  <r>
    <n v="1220"/>
    <x v="13"/>
    <s v="Anjali"/>
    <x v="2"/>
    <x v="2"/>
    <x v="0"/>
    <n v="7"/>
    <n v="9000"/>
    <n v="5"/>
    <x v="66"/>
    <n v="6888.88"/>
    <s v="Low Profit"/>
    <n v="2026"/>
    <x v="2"/>
    <s v="Good"/>
    <n v="3150"/>
    <n v="0"/>
    <m/>
    <m/>
  </r>
  <r>
    <n v="1258"/>
    <x v="140"/>
    <s v="Kiran"/>
    <x v="2"/>
    <x v="2"/>
    <x v="0"/>
    <n v="7"/>
    <n v="9000"/>
    <n v="5"/>
    <x v="66"/>
    <n v="14621.35"/>
    <s v="Low Profit"/>
    <n v="2025"/>
    <x v="1"/>
    <s v="Good"/>
    <n v="3150"/>
    <n v="0"/>
    <m/>
    <m/>
  </r>
  <r>
    <n v="1474"/>
    <x v="141"/>
    <s v="Anjali"/>
    <x v="3"/>
    <x v="3"/>
    <x v="1"/>
    <n v="9"/>
    <n v="7000"/>
    <n v="5"/>
    <x v="66"/>
    <n v="14922.82"/>
    <s v="Low Profit"/>
    <n v="2025"/>
    <x v="7"/>
    <s v="Good"/>
    <n v="3150"/>
    <n v="0"/>
    <m/>
    <m/>
  </r>
  <r>
    <n v="1010"/>
    <x v="142"/>
    <s v="Amit"/>
    <x v="2"/>
    <x v="3"/>
    <x v="1"/>
    <n v="10"/>
    <n v="7000"/>
    <n v="15"/>
    <x v="67"/>
    <n v="8828.7800000000007"/>
    <s v="Low Profit"/>
    <n v="2026"/>
    <x v="3"/>
    <s v="Good"/>
    <n v="10500"/>
    <n v="0"/>
    <m/>
    <m/>
  </r>
  <r>
    <n v="1079"/>
    <x v="143"/>
    <s v="Neha"/>
    <x v="1"/>
    <x v="1"/>
    <x v="0"/>
    <n v="6"/>
    <n v="12000"/>
    <n v="20"/>
    <x v="68"/>
    <n v="9800.57"/>
    <s v="Low Profit"/>
    <n v="2026"/>
    <x v="3"/>
    <s v="Good"/>
    <n v="14400"/>
    <n v="0"/>
    <m/>
    <m/>
  </r>
  <r>
    <n v="1272"/>
    <x v="144"/>
    <s v="Rohan"/>
    <x v="3"/>
    <x v="2"/>
    <x v="0"/>
    <n v="8"/>
    <n v="9000"/>
    <n v="20"/>
    <x v="68"/>
    <n v="12943.8"/>
    <s v="Low Profit"/>
    <n v="2025"/>
    <x v="2"/>
    <s v="Good"/>
    <n v="14400"/>
    <n v="0"/>
    <m/>
    <m/>
  </r>
  <r>
    <n v="1049"/>
    <x v="145"/>
    <s v="Rohan"/>
    <x v="2"/>
    <x v="1"/>
    <x v="0"/>
    <n v="5"/>
    <n v="12000"/>
    <n v="5"/>
    <x v="69"/>
    <n v="7425.53"/>
    <s v="Low Profit"/>
    <n v="2025"/>
    <x v="3"/>
    <s v="Good"/>
    <n v="3000"/>
    <n v="0"/>
    <m/>
    <m/>
  </r>
  <r>
    <n v="1048"/>
    <x v="76"/>
    <s v="Neha"/>
    <x v="3"/>
    <x v="3"/>
    <x v="1"/>
    <n v="9"/>
    <n v="7000"/>
    <n v="10"/>
    <x v="70"/>
    <n v="6324.16"/>
    <s v="Low Profit"/>
    <n v="2026"/>
    <x v="5"/>
    <s v="Good"/>
    <n v="6300"/>
    <n v="0"/>
    <m/>
    <m/>
  </r>
  <r>
    <n v="1294"/>
    <x v="30"/>
    <s v="Anjali"/>
    <x v="3"/>
    <x v="2"/>
    <x v="0"/>
    <n v="7"/>
    <n v="9000"/>
    <n v="10"/>
    <x v="70"/>
    <n v="6817.59"/>
    <s v="Low Profit"/>
    <n v="2026"/>
    <x v="2"/>
    <s v="Good"/>
    <n v="6300"/>
    <n v="0"/>
    <m/>
    <m/>
  </r>
  <r>
    <n v="1414"/>
    <x v="146"/>
    <s v="Sneha"/>
    <x v="1"/>
    <x v="3"/>
    <x v="1"/>
    <n v="9"/>
    <n v="7000"/>
    <n v="10"/>
    <x v="70"/>
    <n v="7465.9"/>
    <s v="Low Profit"/>
    <n v="2025"/>
    <x v="3"/>
    <s v="Good"/>
    <n v="6300"/>
    <n v="0"/>
    <m/>
    <m/>
  </r>
  <r>
    <n v="1256"/>
    <x v="94"/>
    <s v="Mrunali"/>
    <x v="0"/>
    <x v="3"/>
    <x v="1"/>
    <n v="10"/>
    <n v="7000"/>
    <n v="20"/>
    <x v="71"/>
    <n v="5504.91"/>
    <s v="Low Profit"/>
    <n v="2025"/>
    <x v="2"/>
    <s v="Good"/>
    <n v="14000"/>
    <n v="0"/>
    <m/>
    <m/>
  </r>
  <r>
    <n v="1266"/>
    <x v="17"/>
    <s v="Priya"/>
    <x v="1"/>
    <x v="3"/>
    <x v="1"/>
    <n v="10"/>
    <n v="7000"/>
    <n v="20"/>
    <x v="71"/>
    <n v="11680.78"/>
    <s v="Low Profit"/>
    <n v="2025"/>
    <x v="3"/>
    <s v="Good"/>
    <n v="14000"/>
    <n v="0"/>
    <m/>
    <m/>
  </r>
  <r>
    <n v="1450"/>
    <x v="46"/>
    <s v="Mrunali"/>
    <x v="2"/>
    <x v="0"/>
    <x v="0"/>
    <n v="1"/>
    <n v="55000"/>
    <n v="0"/>
    <x v="72"/>
    <n v="12138.82"/>
    <s v="Low Profit"/>
    <n v="2025"/>
    <x v="7"/>
    <s v="Good"/>
    <n v="0"/>
    <n v="0"/>
    <m/>
    <m/>
  </r>
  <r>
    <n v="1003"/>
    <x v="147"/>
    <s v="Kiran"/>
    <x v="2"/>
    <x v="1"/>
    <x v="0"/>
    <n v="5"/>
    <n v="12000"/>
    <n v="10"/>
    <x v="73"/>
    <n v="12150.1"/>
    <s v="Low Profit"/>
    <n v="2025"/>
    <x v="6"/>
    <s v="Good"/>
    <n v="6000"/>
    <n v="0"/>
    <m/>
    <m/>
  </r>
  <r>
    <n v="1047"/>
    <x v="148"/>
    <s v="Mrunali"/>
    <x v="0"/>
    <x v="2"/>
    <x v="0"/>
    <n v="6"/>
    <n v="9000"/>
    <n v="0"/>
    <x v="73"/>
    <n v="8975.93"/>
    <s v="Low Profit"/>
    <n v="2026"/>
    <x v="1"/>
    <s v="Good"/>
    <n v="0"/>
    <n v="0"/>
    <m/>
    <m/>
  </r>
  <r>
    <n v="1053"/>
    <x v="149"/>
    <s v="Amit"/>
    <x v="0"/>
    <x v="2"/>
    <x v="0"/>
    <n v="6"/>
    <n v="9000"/>
    <n v="0"/>
    <x v="73"/>
    <n v="4392.7700000000004"/>
    <s v="Low Profit"/>
    <n v="2026"/>
    <x v="2"/>
    <s v="Good"/>
    <n v="0"/>
    <n v="0"/>
    <m/>
    <m/>
  </r>
  <r>
    <n v="1354"/>
    <x v="150"/>
    <s v="Amit"/>
    <x v="2"/>
    <x v="1"/>
    <x v="0"/>
    <n v="5"/>
    <n v="12000"/>
    <n v="10"/>
    <x v="73"/>
    <n v="12376.08"/>
    <s v="Low Profit"/>
    <n v="2025"/>
    <x v="1"/>
    <s v="Good"/>
    <n v="6000"/>
    <n v="0"/>
    <m/>
    <m/>
  </r>
  <r>
    <n v="1472"/>
    <x v="151"/>
    <s v="Amit"/>
    <x v="2"/>
    <x v="2"/>
    <x v="0"/>
    <n v="6"/>
    <n v="9000"/>
    <n v="0"/>
    <x v="73"/>
    <n v="9303.6"/>
    <s v="Low Profit"/>
    <n v="2025"/>
    <x v="2"/>
    <s v="Good"/>
    <n v="0"/>
    <n v="0"/>
    <m/>
    <m/>
  </r>
  <r>
    <n v="1059"/>
    <x v="17"/>
    <s v="Rohan"/>
    <x v="1"/>
    <x v="3"/>
    <x v="1"/>
    <n v="9"/>
    <n v="7000"/>
    <n v="15"/>
    <x v="74"/>
    <n v="7535.81"/>
    <s v="Low Profit"/>
    <n v="2025"/>
    <x v="3"/>
    <s v="Good"/>
    <n v="9450"/>
    <n v="0"/>
    <m/>
    <m/>
  </r>
  <r>
    <n v="1087"/>
    <x v="68"/>
    <s v="Mrunali"/>
    <x v="3"/>
    <x v="2"/>
    <x v="0"/>
    <n v="7"/>
    <n v="9000"/>
    <n v="15"/>
    <x v="74"/>
    <n v="4600.95"/>
    <s v="Low Profit"/>
    <n v="2025"/>
    <x v="8"/>
    <s v="Good"/>
    <n v="9450"/>
    <n v="0"/>
    <m/>
    <m/>
  </r>
  <r>
    <n v="1391"/>
    <x v="148"/>
    <s v="Amit"/>
    <x v="0"/>
    <x v="2"/>
    <x v="0"/>
    <n v="7"/>
    <n v="9000"/>
    <n v="15"/>
    <x v="74"/>
    <n v="10750.16"/>
    <s v="Low Profit"/>
    <n v="2026"/>
    <x v="1"/>
    <s v="Good"/>
    <n v="9450"/>
    <n v="0"/>
    <m/>
    <m/>
  </r>
  <r>
    <n v="1033"/>
    <x v="152"/>
    <s v="Kiran"/>
    <x v="2"/>
    <x v="0"/>
    <x v="0"/>
    <n v="1"/>
    <n v="55000"/>
    <n v="5"/>
    <x v="75"/>
    <n v="9734.17"/>
    <s v="Low Profit"/>
    <n v="2025"/>
    <x v="11"/>
    <s v="Good"/>
    <n v="2750"/>
    <n v="0"/>
    <m/>
    <m/>
  </r>
  <r>
    <n v="1122"/>
    <x v="113"/>
    <s v="Neha"/>
    <x v="1"/>
    <x v="0"/>
    <x v="0"/>
    <n v="1"/>
    <n v="55000"/>
    <n v="5"/>
    <x v="75"/>
    <n v="7908.24"/>
    <s v="Low Profit"/>
    <n v="2025"/>
    <x v="0"/>
    <s v="Good"/>
    <n v="2750"/>
    <n v="0"/>
    <m/>
    <m/>
  </r>
  <r>
    <n v="1375"/>
    <x v="153"/>
    <s v="Rahul"/>
    <x v="1"/>
    <x v="0"/>
    <x v="0"/>
    <n v="1"/>
    <n v="55000"/>
    <n v="5"/>
    <x v="75"/>
    <n v="9672.5"/>
    <s v="Low Profit"/>
    <n v="2025"/>
    <x v="6"/>
    <s v="Good"/>
    <n v="2750"/>
    <n v="0"/>
    <m/>
    <m/>
  </r>
  <r>
    <n v="1303"/>
    <x v="37"/>
    <s v="Mrunali"/>
    <x v="3"/>
    <x v="3"/>
    <x v="1"/>
    <n v="9"/>
    <n v="7000"/>
    <n v="20"/>
    <x v="76"/>
    <n v="5706.22"/>
    <s v="Low Profit"/>
    <n v="2025"/>
    <x v="9"/>
    <s v="Good"/>
    <n v="12600"/>
    <n v="0"/>
    <m/>
    <m/>
  </r>
  <r>
    <n v="1346"/>
    <x v="154"/>
    <s v="Sneha"/>
    <x v="0"/>
    <x v="2"/>
    <x v="0"/>
    <n v="7"/>
    <n v="9000"/>
    <n v="20"/>
    <x v="76"/>
    <n v="9695.65"/>
    <s v="Low Profit"/>
    <n v="2025"/>
    <x v="6"/>
    <s v="Good"/>
    <n v="12600"/>
    <n v="0"/>
    <m/>
    <m/>
  </r>
  <r>
    <n v="1394"/>
    <x v="155"/>
    <s v="Rohan"/>
    <x v="3"/>
    <x v="3"/>
    <x v="1"/>
    <n v="8"/>
    <n v="7000"/>
    <n v="10"/>
    <x v="76"/>
    <n v="10226.43"/>
    <s v="Low Profit"/>
    <n v="2025"/>
    <x v="5"/>
    <s v="Good"/>
    <n v="5600"/>
    <n v="0"/>
    <m/>
    <m/>
  </r>
  <r>
    <n v="1485"/>
    <x v="156"/>
    <s v="Sneha"/>
    <x v="3"/>
    <x v="3"/>
    <x v="1"/>
    <n v="8"/>
    <n v="7000"/>
    <n v="10"/>
    <x v="76"/>
    <n v="7350.85"/>
    <s v="Low Profit"/>
    <n v="2025"/>
    <x v="7"/>
    <s v="Good"/>
    <n v="5600"/>
    <n v="0"/>
    <m/>
    <m/>
  </r>
  <r>
    <n v="1063"/>
    <x v="157"/>
    <s v="Rahul"/>
    <x v="1"/>
    <x v="0"/>
    <x v="0"/>
    <n v="1"/>
    <n v="55000"/>
    <n v="10"/>
    <x v="77"/>
    <n v="6094.63"/>
    <s v="Low Profit"/>
    <n v="2026"/>
    <x v="5"/>
    <s v="Average"/>
    <n v="5500"/>
    <n v="0"/>
    <m/>
    <m/>
  </r>
  <r>
    <n v="1250"/>
    <x v="158"/>
    <s v="Mrunali"/>
    <x v="0"/>
    <x v="3"/>
    <x v="1"/>
    <n v="7"/>
    <n v="7000"/>
    <n v="0"/>
    <x v="78"/>
    <n v="4303.43"/>
    <s v="Low Profit"/>
    <n v="2025"/>
    <x v="10"/>
    <s v="Average"/>
    <n v="0"/>
    <n v="0"/>
    <m/>
    <m/>
  </r>
  <r>
    <n v="1055"/>
    <x v="159"/>
    <s v="Vikas"/>
    <x v="0"/>
    <x v="2"/>
    <x v="0"/>
    <n v="6"/>
    <n v="9000"/>
    <n v="10"/>
    <x v="79"/>
    <n v="8701.64"/>
    <s v="Low Profit"/>
    <n v="2025"/>
    <x v="0"/>
    <s v="Average"/>
    <n v="5400"/>
    <n v="0"/>
    <m/>
    <m/>
  </r>
  <r>
    <n v="1415"/>
    <x v="160"/>
    <s v="Vikas"/>
    <x v="2"/>
    <x v="2"/>
    <x v="0"/>
    <n v="6"/>
    <n v="9000"/>
    <n v="10"/>
    <x v="79"/>
    <n v="7881.81"/>
    <s v="Low Profit"/>
    <n v="2025"/>
    <x v="5"/>
    <s v="Average"/>
    <n v="5400"/>
    <n v="0"/>
    <m/>
    <m/>
  </r>
  <r>
    <n v="1418"/>
    <x v="161"/>
    <s v="Kiran"/>
    <x v="3"/>
    <x v="2"/>
    <x v="0"/>
    <n v="6"/>
    <n v="9000"/>
    <n v="10"/>
    <x v="79"/>
    <n v="4391.72"/>
    <s v="Low Profit"/>
    <n v="2025"/>
    <x v="8"/>
    <s v="Average"/>
    <n v="5400"/>
    <n v="0"/>
    <m/>
    <m/>
  </r>
  <r>
    <n v="1147"/>
    <x v="162"/>
    <s v="Sneha"/>
    <x v="2"/>
    <x v="1"/>
    <x v="0"/>
    <n v="4"/>
    <n v="12000"/>
    <n v="0"/>
    <x v="80"/>
    <n v="6538.42"/>
    <s v="Low Profit"/>
    <n v="2025"/>
    <x v="3"/>
    <s v="Average"/>
    <n v="0"/>
    <n v="0"/>
    <m/>
    <m/>
  </r>
  <r>
    <n v="1163"/>
    <x v="163"/>
    <s v="Mrunali"/>
    <x v="1"/>
    <x v="1"/>
    <x v="0"/>
    <n v="5"/>
    <n v="12000"/>
    <n v="20"/>
    <x v="80"/>
    <n v="9711.08"/>
    <s v="Low Profit"/>
    <n v="2025"/>
    <x v="7"/>
    <s v="Average"/>
    <n v="12000"/>
    <n v="0"/>
    <m/>
    <m/>
  </r>
  <r>
    <n v="1171"/>
    <x v="148"/>
    <s v="Neha"/>
    <x v="3"/>
    <x v="1"/>
    <x v="0"/>
    <n v="5"/>
    <n v="12000"/>
    <n v="20"/>
    <x v="80"/>
    <n v="8957.74"/>
    <s v="Low Profit"/>
    <n v="2026"/>
    <x v="1"/>
    <s v="Average"/>
    <n v="12000"/>
    <n v="0"/>
    <m/>
    <m/>
  </r>
  <r>
    <n v="1464"/>
    <x v="164"/>
    <s v="Anjali"/>
    <x v="0"/>
    <x v="1"/>
    <x v="0"/>
    <n v="4"/>
    <n v="12000"/>
    <n v="0"/>
    <x v="80"/>
    <n v="9263.51"/>
    <s v="Low Profit"/>
    <n v="2025"/>
    <x v="7"/>
    <s v="Average"/>
    <n v="0"/>
    <n v="0"/>
    <m/>
    <m/>
  </r>
  <r>
    <n v="1499"/>
    <x v="165"/>
    <s v="Neha"/>
    <x v="1"/>
    <x v="1"/>
    <x v="0"/>
    <n v="5"/>
    <n v="12000"/>
    <n v="20"/>
    <x v="80"/>
    <n v="9868.2000000000007"/>
    <s v="Low Profit"/>
    <n v="2025"/>
    <x v="5"/>
    <s v="Average"/>
    <n v="12000"/>
    <n v="0"/>
    <m/>
    <m/>
  </r>
  <r>
    <n v="1036"/>
    <x v="166"/>
    <s v="Sneha"/>
    <x v="2"/>
    <x v="3"/>
    <x v="1"/>
    <n v="8"/>
    <n v="7000"/>
    <n v="15"/>
    <x v="81"/>
    <n v="10277.86"/>
    <s v="Low Profit"/>
    <n v="2025"/>
    <x v="4"/>
    <s v="Average"/>
    <n v="8400"/>
    <n v="0"/>
    <m/>
    <m/>
  </r>
  <r>
    <n v="1252"/>
    <x v="167"/>
    <s v="Kiran"/>
    <x v="3"/>
    <x v="3"/>
    <x v="1"/>
    <n v="8"/>
    <n v="7000"/>
    <n v="15"/>
    <x v="81"/>
    <n v="9952.2800000000007"/>
    <s v="Low Profit"/>
    <n v="2025"/>
    <x v="8"/>
    <s v="Average"/>
    <n v="8400"/>
    <n v="0"/>
    <m/>
    <m/>
  </r>
  <r>
    <n v="1309"/>
    <x v="168"/>
    <s v="Amit"/>
    <x v="0"/>
    <x v="3"/>
    <x v="1"/>
    <n v="8"/>
    <n v="7000"/>
    <n v="15"/>
    <x v="81"/>
    <n v="4160.95"/>
    <s v="Low Profit"/>
    <n v="2026"/>
    <x v="1"/>
    <s v="Average"/>
    <n v="8400"/>
    <n v="0"/>
    <m/>
    <m/>
  </r>
  <r>
    <n v="1426"/>
    <x v="169"/>
    <s v="Priya"/>
    <x v="2"/>
    <x v="0"/>
    <x v="0"/>
    <n v="1"/>
    <n v="55000"/>
    <n v="15"/>
    <x v="82"/>
    <n v="4004.79"/>
    <s v="Low Profit"/>
    <n v="2026"/>
    <x v="5"/>
    <s v="Average"/>
    <n v="8250"/>
    <n v="0"/>
    <m/>
    <m/>
  </r>
  <r>
    <n v="1150"/>
    <x v="170"/>
    <s v="Neha"/>
    <x v="3"/>
    <x v="3"/>
    <x v="1"/>
    <n v="7"/>
    <n v="7000"/>
    <n v="5"/>
    <x v="83"/>
    <n v="3741.3"/>
    <s v="Low Profit"/>
    <n v="2025"/>
    <x v="7"/>
    <s v="Average"/>
    <n v="2450"/>
    <n v="0"/>
    <m/>
    <m/>
  </r>
  <r>
    <n v="1237"/>
    <x v="171"/>
    <s v="Rahul"/>
    <x v="3"/>
    <x v="3"/>
    <x v="1"/>
    <n v="7"/>
    <n v="7000"/>
    <n v="5"/>
    <x v="83"/>
    <n v="7975.99"/>
    <s v="Low Profit"/>
    <n v="2026"/>
    <x v="7"/>
    <s v="Average"/>
    <n v="2450"/>
    <n v="0"/>
    <m/>
    <m/>
  </r>
  <r>
    <n v="1401"/>
    <x v="172"/>
    <s v="Priya"/>
    <x v="1"/>
    <x v="3"/>
    <x v="1"/>
    <n v="7"/>
    <n v="7000"/>
    <n v="5"/>
    <x v="83"/>
    <n v="6715.39"/>
    <s v="Low Profit"/>
    <n v="2025"/>
    <x v="3"/>
    <s v="Average"/>
    <n v="2450"/>
    <n v="0"/>
    <m/>
    <m/>
  </r>
  <r>
    <n v="1217"/>
    <x v="173"/>
    <s v="Kiran"/>
    <x v="0"/>
    <x v="2"/>
    <x v="0"/>
    <n v="6"/>
    <n v="9000"/>
    <n v="15"/>
    <x v="84"/>
    <n v="7403.89"/>
    <s v="Low Profit"/>
    <n v="2026"/>
    <x v="3"/>
    <s v="Average"/>
    <n v="8100"/>
    <n v="0"/>
    <m/>
    <m/>
  </r>
  <r>
    <n v="1066"/>
    <x v="174"/>
    <s v="Mrunali"/>
    <x v="2"/>
    <x v="1"/>
    <x v="0"/>
    <n v="4"/>
    <n v="12000"/>
    <n v="5"/>
    <x v="85"/>
    <n v="9806.44"/>
    <s v="Low Profit"/>
    <n v="2025"/>
    <x v="5"/>
    <s v="Average"/>
    <n v="2400"/>
    <n v="0"/>
    <m/>
    <m/>
  </r>
  <r>
    <n v="1123"/>
    <x v="175"/>
    <s v="Neha"/>
    <x v="1"/>
    <x v="1"/>
    <x v="0"/>
    <n v="4"/>
    <n v="12000"/>
    <n v="5"/>
    <x v="85"/>
    <n v="4874.74"/>
    <s v="Low Profit"/>
    <n v="2025"/>
    <x v="3"/>
    <s v="Average"/>
    <n v="2400"/>
    <n v="0"/>
    <m/>
    <m/>
  </r>
  <r>
    <n v="1273"/>
    <x v="60"/>
    <s v="Rahul"/>
    <x v="1"/>
    <x v="2"/>
    <x v="0"/>
    <n v="5"/>
    <n v="9000"/>
    <n v="0"/>
    <x v="86"/>
    <n v="9419.4699999999993"/>
    <s v="Low Profit"/>
    <n v="2025"/>
    <x v="0"/>
    <s v="Average"/>
    <n v="0"/>
    <n v="0"/>
    <m/>
    <m/>
  </r>
  <r>
    <n v="1341"/>
    <x v="176"/>
    <s v="Kiran"/>
    <x v="1"/>
    <x v="2"/>
    <x v="0"/>
    <n v="5"/>
    <n v="9000"/>
    <n v="0"/>
    <x v="86"/>
    <n v="8005.9"/>
    <s v="Low Profit"/>
    <n v="2026"/>
    <x v="2"/>
    <s v="Average"/>
    <n v="0"/>
    <n v="0"/>
    <m/>
    <m/>
  </r>
  <r>
    <n v="1161"/>
    <x v="112"/>
    <s v="Anjali"/>
    <x v="0"/>
    <x v="3"/>
    <x v="1"/>
    <n v="8"/>
    <n v="7000"/>
    <n v="20"/>
    <x v="87"/>
    <n v="5351.27"/>
    <s v="Low Profit"/>
    <n v="2025"/>
    <x v="3"/>
    <s v="Average"/>
    <n v="11200"/>
    <n v="0"/>
    <m/>
    <m/>
  </r>
  <r>
    <n v="1174"/>
    <x v="177"/>
    <s v="Neha"/>
    <x v="0"/>
    <x v="3"/>
    <x v="1"/>
    <n v="8"/>
    <n v="7000"/>
    <n v="20"/>
    <x v="87"/>
    <n v="8062.14"/>
    <s v="Low Profit"/>
    <n v="2025"/>
    <x v="6"/>
    <s v="Average"/>
    <n v="11200"/>
    <n v="0"/>
    <m/>
    <m/>
  </r>
  <r>
    <n v="1454"/>
    <x v="178"/>
    <s v="Vikas"/>
    <x v="0"/>
    <x v="3"/>
    <x v="1"/>
    <n v="8"/>
    <n v="7000"/>
    <n v="20"/>
    <x v="87"/>
    <n v="3900.05"/>
    <s v="Low Profit"/>
    <n v="2025"/>
    <x v="10"/>
    <s v="Average"/>
    <n v="11200"/>
    <n v="0"/>
    <m/>
    <m/>
  </r>
  <r>
    <n v="1009"/>
    <x v="179"/>
    <s v="Vikas"/>
    <x v="3"/>
    <x v="3"/>
    <x v="1"/>
    <n v="7"/>
    <n v="7000"/>
    <n v="10"/>
    <x v="88"/>
    <n v="11000.61"/>
    <s v="Low Profit"/>
    <n v="2026"/>
    <x v="2"/>
    <s v="Average"/>
    <n v="4900"/>
    <n v="0"/>
    <m/>
    <m/>
  </r>
  <r>
    <n v="1297"/>
    <x v="180"/>
    <s v="Amit"/>
    <x v="0"/>
    <x v="3"/>
    <x v="1"/>
    <n v="7"/>
    <n v="7000"/>
    <n v="10"/>
    <x v="88"/>
    <n v="3675.2"/>
    <s v="Low Profit"/>
    <n v="2026"/>
    <x v="5"/>
    <s v="Average"/>
    <n v="4900"/>
    <n v="0"/>
    <m/>
    <m/>
  </r>
  <r>
    <n v="1322"/>
    <x v="49"/>
    <s v="Neha"/>
    <x v="2"/>
    <x v="3"/>
    <x v="1"/>
    <n v="7"/>
    <n v="7000"/>
    <n v="10"/>
    <x v="88"/>
    <n v="5953.73"/>
    <s v="Low Profit"/>
    <n v="2025"/>
    <x v="11"/>
    <s v="Average"/>
    <n v="4900"/>
    <n v="0"/>
    <m/>
    <m/>
  </r>
  <r>
    <n v="1206"/>
    <x v="157"/>
    <s v="Rahul"/>
    <x v="1"/>
    <x v="0"/>
    <x v="0"/>
    <n v="1"/>
    <n v="55000"/>
    <n v="20"/>
    <x v="89"/>
    <n v="3930.28"/>
    <s v="Low Profit"/>
    <n v="2026"/>
    <x v="5"/>
    <s v="Average"/>
    <n v="11000"/>
    <n v="0"/>
    <m/>
    <m/>
  </r>
  <r>
    <n v="1263"/>
    <x v="181"/>
    <s v="Rohan"/>
    <x v="3"/>
    <x v="0"/>
    <x v="0"/>
    <n v="1"/>
    <n v="55000"/>
    <n v="20"/>
    <x v="89"/>
    <n v="4814.2299999999996"/>
    <s v="Low Profit"/>
    <n v="2026"/>
    <x v="5"/>
    <s v="Average"/>
    <n v="11000"/>
    <n v="0"/>
    <m/>
    <m/>
  </r>
  <r>
    <n v="1335"/>
    <x v="174"/>
    <s v="Mrunali"/>
    <x v="0"/>
    <x v="1"/>
    <x v="0"/>
    <n v="4"/>
    <n v="12000"/>
    <n v="10"/>
    <x v="90"/>
    <n v="3533.35"/>
    <s v="Low Profit"/>
    <n v="2025"/>
    <x v="5"/>
    <s v="Average"/>
    <n v="4800"/>
    <n v="0"/>
    <m/>
    <m/>
  </r>
  <r>
    <n v="1349"/>
    <x v="182"/>
    <s v="Rahul"/>
    <x v="2"/>
    <x v="1"/>
    <x v="0"/>
    <n v="4"/>
    <n v="12000"/>
    <n v="10"/>
    <x v="90"/>
    <n v="10344.92"/>
    <s v="Low Profit"/>
    <n v="2025"/>
    <x v="5"/>
    <s v="Average"/>
    <n v="4800"/>
    <n v="0"/>
    <m/>
    <m/>
  </r>
  <r>
    <n v="1128"/>
    <x v="182"/>
    <s v="Vikas"/>
    <x v="2"/>
    <x v="2"/>
    <x v="0"/>
    <n v="5"/>
    <n v="9000"/>
    <n v="5"/>
    <x v="91"/>
    <n v="10426.459999999999"/>
    <s v="Low Profit"/>
    <n v="2025"/>
    <x v="5"/>
    <s v="Average"/>
    <n v="2250"/>
    <n v="0"/>
    <m/>
    <m/>
  </r>
  <r>
    <n v="1015"/>
    <x v="183"/>
    <s v="Rahul"/>
    <x v="3"/>
    <x v="3"/>
    <x v="1"/>
    <n v="6"/>
    <n v="7000"/>
    <n v="0"/>
    <x v="92"/>
    <n v="9041.82"/>
    <s v="Low Profit"/>
    <n v="2026"/>
    <x v="6"/>
    <s v="Average"/>
    <n v="0"/>
    <n v="0"/>
    <m/>
    <m/>
  </r>
  <r>
    <n v="1382"/>
    <x v="35"/>
    <s v="Sneha"/>
    <x v="0"/>
    <x v="3"/>
    <x v="1"/>
    <n v="6"/>
    <n v="7000"/>
    <n v="0"/>
    <x v="92"/>
    <n v="6905.34"/>
    <s v="Low Profit"/>
    <n v="2025"/>
    <x v="7"/>
    <s v="Average"/>
    <n v="0"/>
    <n v="0"/>
    <m/>
    <m/>
  </r>
  <r>
    <n v="1480"/>
    <x v="109"/>
    <s v="Kiran"/>
    <x v="1"/>
    <x v="3"/>
    <x v="1"/>
    <n v="6"/>
    <n v="7000"/>
    <n v="0"/>
    <x v="92"/>
    <n v="6938.55"/>
    <s v="Low Profit"/>
    <n v="2025"/>
    <x v="6"/>
    <s v="Average"/>
    <n v="0"/>
    <n v="0"/>
    <m/>
    <m/>
  </r>
  <r>
    <n v="1145"/>
    <x v="82"/>
    <s v="Neha"/>
    <x v="1"/>
    <x v="1"/>
    <x v="0"/>
    <n v="4"/>
    <n v="12000"/>
    <n v="15"/>
    <x v="93"/>
    <n v="4744.3999999999996"/>
    <s v="Low Profit"/>
    <n v="2025"/>
    <x v="11"/>
    <s v="Average"/>
    <n v="7200"/>
    <n v="0"/>
    <m/>
    <m/>
  </r>
  <r>
    <n v="1152"/>
    <x v="184"/>
    <s v="Rohan"/>
    <x v="2"/>
    <x v="3"/>
    <x v="1"/>
    <n v="7"/>
    <n v="7000"/>
    <n v="20"/>
    <x v="94"/>
    <n v="4728.32"/>
    <s v="Low Profit"/>
    <n v="2026"/>
    <x v="6"/>
    <s v="Average"/>
    <n v="9800"/>
    <n v="0"/>
    <m/>
    <m/>
  </r>
  <r>
    <n v="1045"/>
    <x v="15"/>
    <s v="Mrunali"/>
    <x v="3"/>
    <x v="1"/>
    <x v="0"/>
    <n v="4"/>
    <n v="12000"/>
    <n v="20"/>
    <x v="95"/>
    <n v="3276.37"/>
    <s v="Low Profit"/>
    <n v="2026"/>
    <x v="5"/>
    <s v="Average"/>
    <n v="9600"/>
    <n v="0"/>
    <m/>
    <m/>
  </r>
  <r>
    <n v="1166"/>
    <x v="185"/>
    <s v="Mrunali"/>
    <x v="0"/>
    <x v="1"/>
    <x v="0"/>
    <n v="4"/>
    <n v="12000"/>
    <n v="20"/>
    <x v="95"/>
    <n v="6267.6"/>
    <s v="Low Profit"/>
    <n v="2026"/>
    <x v="5"/>
    <s v="Average"/>
    <n v="9600"/>
    <n v="0"/>
    <m/>
    <m/>
  </r>
  <r>
    <n v="1478"/>
    <x v="143"/>
    <s v="Kiran"/>
    <x v="1"/>
    <x v="1"/>
    <x v="0"/>
    <n v="4"/>
    <n v="12000"/>
    <n v="20"/>
    <x v="95"/>
    <n v="3114.82"/>
    <s v="Low Profit"/>
    <n v="2026"/>
    <x v="3"/>
    <s v="Average"/>
    <n v="9600"/>
    <n v="0"/>
    <m/>
    <m/>
  </r>
  <r>
    <n v="1102"/>
    <x v="186"/>
    <s v="Mrunali"/>
    <x v="0"/>
    <x v="2"/>
    <x v="0"/>
    <n v="5"/>
    <n v="9000"/>
    <n v="15"/>
    <x v="96"/>
    <n v="5584.58"/>
    <s v="Low Profit"/>
    <n v="2025"/>
    <x v="10"/>
    <s v="Average"/>
    <n v="6750"/>
    <n v="0"/>
    <m/>
    <m/>
  </r>
  <r>
    <n v="1133"/>
    <x v="187"/>
    <s v="Priya"/>
    <x v="2"/>
    <x v="2"/>
    <x v="0"/>
    <n v="5"/>
    <n v="9000"/>
    <n v="15"/>
    <x v="96"/>
    <n v="9206.44"/>
    <s v="Low Profit"/>
    <n v="2025"/>
    <x v="0"/>
    <s v="Average"/>
    <n v="6750"/>
    <n v="0"/>
    <m/>
    <m/>
  </r>
  <r>
    <n v="1185"/>
    <x v="188"/>
    <s v="Neha"/>
    <x v="0"/>
    <x v="2"/>
    <x v="0"/>
    <n v="5"/>
    <n v="9000"/>
    <n v="15"/>
    <x v="96"/>
    <n v="9082.36"/>
    <s v="Low Profit"/>
    <n v="2026"/>
    <x v="6"/>
    <s v="Average"/>
    <n v="6750"/>
    <n v="0"/>
    <m/>
    <m/>
  </r>
  <r>
    <n v="1197"/>
    <x v="189"/>
    <s v="Neha"/>
    <x v="0"/>
    <x v="2"/>
    <x v="0"/>
    <n v="5"/>
    <n v="9000"/>
    <n v="15"/>
    <x v="96"/>
    <n v="6541.64"/>
    <s v="Low Profit"/>
    <n v="2026"/>
    <x v="3"/>
    <s v="Average"/>
    <n v="6750"/>
    <n v="0"/>
    <m/>
    <m/>
  </r>
  <r>
    <n v="1218"/>
    <x v="190"/>
    <s v="Amit"/>
    <x v="0"/>
    <x v="3"/>
    <x v="1"/>
    <n v="6"/>
    <n v="7000"/>
    <n v="10"/>
    <x v="97"/>
    <n v="4329.1099999999997"/>
    <s v="Low Profit"/>
    <n v="2026"/>
    <x v="3"/>
    <s v="Average"/>
    <n v="4200"/>
    <n v="0"/>
    <m/>
    <m/>
  </r>
  <r>
    <n v="1083"/>
    <x v="191"/>
    <s v="Rahul"/>
    <x v="3"/>
    <x v="1"/>
    <x v="0"/>
    <n v="3"/>
    <n v="12000"/>
    <n v="0"/>
    <x v="98"/>
    <n v="4290.46"/>
    <s v="Low Profit"/>
    <n v="2025"/>
    <x v="4"/>
    <s v="Average"/>
    <n v="0"/>
    <n v="0"/>
    <m/>
    <m/>
  </r>
  <r>
    <n v="1136"/>
    <x v="65"/>
    <s v="Priya"/>
    <x v="1"/>
    <x v="2"/>
    <x v="0"/>
    <n v="4"/>
    <n v="9000"/>
    <n v="0"/>
    <x v="98"/>
    <n v="6626.75"/>
    <s v="Low Profit"/>
    <n v="2025"/>
    <x v="7"/>
    <s v="Average"/>
    <n v="0"/>
    <n v="0"/>
    <m/>
    <m/>
  </r>
  <r>
    <n v="1210"/>
    <x v="192"/>
    <s v="Neha"/>
    <x v="0"/>
    <x v="2"/>
    <x v="0"/>
    <n v="5"/>
    <n v="9000"/>
    <n v="20"/>
    <x v="98"/>
    <n v="4871.0200000000004"/>
    <s v="Low Profit"/>
    <n v="2026"/>
    <x v="5"/>
    <s v="Average"/>
    <n v="9000"/>
    <n v="0"/>
    <m/>
    <m/>
  </r>
  <r>
    <n v="1215"/>
    <x v="193"/>
    <s v="Kiran"/>
    <x v="1"/>
    <x v="2"/>
    <x v="0"/>
    <n v="4"/>
    <n v="9000"/>
    <n v="0"/>
    <x v="98"/>
    <n v="5478.31"/>
    <s v="Low Profit"/>
    <n v="2025"/>
    <x v="8"/>
    <s v="Average"/>
    <n v="0"/>
    <n v="0"/>
    <m/>
    <m/>
  </r>
  <r>
    <n v="1295"/>
    <x v="194"/>
    <s v="Mrunali"/>
    <x v="1"/>
    <x v="2"/>
    <x v="0"/>
    <n v="5"/>
    <n v="9000"/>
    <n v="20"/>
    <x v="98"/>
    <n v="7522.89"/>
    <s v="Low Profit"/>
    <n v="2026"/>
    <x v="1"/>
    <s v="Average"/>
    <n v="9000"/>
    <n v="0"/>
    <m/>
    <m/>
  </r>
  <r>
    <n v="1323"/>
    <x v="195"/>
    <s v="Vikas"/>
    <x v="2"/>
    <x v="2"/>
    <x v="0"/>
    <n v="5"/>
    <n v="9000"/>
    <n v="20"/>
    <x v="98"/>
    <n v="7609.59"/>
    <s v="Low Profit"/>
    <n v="2025"/>
    <x v="3"/>
    <s v="Average"/>
    <n v="9000"/>
    <n v="0"/>
    <m/>
    <m/>
  </r>
  <r>
    <n v="1377"/>
    <x v="196"/>
    <s v="Kiran"/>
    <x v="3"/>
    <x v="2"/>
    <x v="0"/>
    <n v="5"/>
    <n v="9000"/>
    <n v="20"/>
    <x v="98"/>
    <n v="8178.41"/>
    <s v="Low Profit"/>
    <n v="2025"/>
    <x v="9"/>
    <s v="Average"/>
    <n v="9000"/>
    <n v="0"/>
    <m/>
    <m/>
  </r>
  <r>
    <n v="1417"/>
    <x v="197"/>
    <s v="Priya"/>
    <x v="0"/>
    <x v="2"/>
    <x v="0"/>
    <n v="5"/>
    <n v="9000"/>
    <n v="20"/>
    <x v="98"/>
    <n v="4411.3500000000004"/>
    <s v="Low Profit"/>
    <n v="2026"/>
    <x v="1"/>
    <s v="Average"/>
    <n v="9000"/>
    <n v="0"/>
    <m/>
    <m/>
  </r>
  <r>
    <n v="1336"/>
    <x v="198"/>
    <s v="Rahul"/>
    <x v="0"/>
    <x v="3"/>
    <x v="1"/>
    <n v="6"/>
    <n v="7000"/>
    <n v="15"/>
    <x v="99"/>
    <n v="7362.28"/>
    <s v="Low Profit"/>
    <n v="2026"/>
    <x v="3"/>
    <s v="Average"/>
    <n v="6300"/>
    <n v="0"/>
    <m/>
    <m/>
  </r>
  <r>
    <n v="1037"/>
    <x v="199"/>
    <s v="Mrunali"/>
    <x v="1"/>
    <x v="2"/>
    <x v="0"/>
    <n v="4"/>
    <n v="9000"/>
    <n v="5"/>
    <x v="100"/>
    <n v="7060.86"/>
    <s v="Low Profit"/>
    <n v="2026"/>
    <x v="1"/>
    <s v="Average"/>
    <n v="1800"/>
    <n v="0"/>
    <m/>
    <m/>
  </r>
  <r>
    <n v="1070"/>
    <x v="200"/>
    <s v="Vikas"/>
    <x v="1"/>
    <x v="1"/>
    <x v="0"/>
    <n v="3"/>
    <n v="12000"/>
    <n v="5"/>
    <x v="100"/>
    <n v="5900.6"/>
    <s v="Low Profit"/>
    <n v="2025"/>
    <x v="4"/>
    <s v="Average"/>
    <n v="1800"/>
    <n v="0"/>
    <m/>
    <m/>
  </r>
  <r>
    <n v="1131"/>
    <x v="201"/>
    <s v="Kiran"/>
    <x v="0"/>
    <x v="1"/>
    <x v="0"/>
    <n v="3"/>
    <n v="12000"/>
    <n v="5"/>
    <x v="100"/>
    <n v="5006.75"/>
    <s v="Low Profit"/>
    <n v="2025"/>
    <x v="11"/>
    <s v="Average"/>
    <n v="1800"/>
    <n v="0"/>
    <m/>
    <m/>
  </r>
  <r>
    <n v="1291"/>
    <x v="202"/>
    <s v="Rohan"/>
    <x v="0"/>
    <x v="1"/>
    <x v="0"/>
    <n v="3"/>
    <n v="12000"/>
    <n v="5"/>
    <x v="100"/>
    <n v="3122.02"/>
    <s v="Low Profit"/>
    <n v="2026"/>
    <x v="1"/>
    <s v="Average"/>
    <n v="1800"/>
    <n v="0"/>
    <m/>
    <m/>
  </r>
  <r>
    <n v="1232"/>
    <x v="203"/>
    <s v="Sneha"/>
    <x v="3"/>
    <x v="3"/>
    <x v="1"/>
    <n v="6"/>
    <n v="7000"/>
    <n v="20"/>
    <x v="101"/>
    <n v="6822.37"/>
    <s v="Low Profit"/>
    <n v="2026"/>
    <x v="7"/>
    <s v="Average"/>
    <n v="8400"/>
    <n v="0"/>
    <m/>
    <m/>
  </r>
  <r>
    <n v="1050"/>
    <x v="164"/>
    <s v="Anjali"/>
    <x v="1"/>
    <x v="3"/>
    <x v="1"/>
    <n v="5"/>
    <n v="7000"/>
    <n v="5"/>
    <x v="102"/>
    <n v="4733.7"/>
    <s v="Low Profit"/>
    <n v="2025"/>
    <x v="7"/>
    <s v="Average"/>
    <n v="1750"/>
    <n v="0"/>
    <m/>
    <m/>
  </r>
  <r>
    <n v="1214"/>
    <x v="204"/>
    <s v="Neha"/>
    <x v="2"/>
    <x v="3"/>
    <x v="1"/>
    <n v="5"/>
    <n v="7000"/>
    <n v="5"/>
    <x v="102"/>
    <n v="5519.9"/>
    <s v="Low Profit"/>
    <n v="2026"/>
    <x v="1"/>
    <s v="Average"/>
    <n v="1750"/>
    <n v="0"/>
    <m/>
    <m/>
  </r>
  <r>
    <n v="1270"/>
    <x v="166"/>
    <s v="Mrunali"/>
    <x v="1"/>
    <x v="3"/>
    <x v="1"/>
    <n v="5"/>
    <n v="7000"/>
    <n v="5"/>
    <x v="102"/>
    <n v="6644.03"/>
    <s v="Low Profit"/>
    <n v="2025"/>
    <x v="4"/>
    <s v="Average"/>
    <n v="1750"/>
    <n v="0"/>
    <m/>
    <m/>
  </r>
  <r>
    <n v="1487"/>
    <x v="95"/>
    <s v="Mrunali"/>
    <x v="0"/>
    <x v="3"/>
    <x v="1"/>
    <n v="5"/>
    <n v="7000"/>
    <n v="5"/>
    <x v="102"/>
    <n v="7176.2"/>
    <s v="Low Profit"/>
    <n v="2026"/>
    <x v="5"/>
    <s v="Average"/>
    <n v="1750"/>
    <n v="0"/>
    <m/>
    <m/>
  </r>
  <r>
    <n v="1253"/>
    <x v="52"/>
    <s v="Anjali"/>
    <x v="1"/>
    <x v="2"/>
    <x v="0"/>
    <n v="4"/>
    <n v="9000"/>
    <n v="10"/>
    <x v="103"/>
    <n v="7077.5"/>
    <s v="Low Profit"/>
    <n v="2025"/>
    <x v="1"/>
    <s v="Average"/>
    <n v="3600"/>
    <n v="0"/>
    <m/>
    <m/>
  </r>
  <r>
    <n v="1442"/>
    <x v="205"/>
    <s v="Neha"/>
    <x v="0"/>
    <x v="2"/>
    <x v="0"/>
    <n v="4"/>
    <n v="9000"/>
    <n v="10"/>
    <x v="103"/>
    <n v="3712.41"/>
    <s v="Low Profit"/>
    <n v="2026"/>
    <x v="3"/>
    <s v="Average"/>
    <n v="3600"/>
    <n v="0"/>
    <m/>
    <m/>
  </r>
  <r>
    <n v="1170"/>
    <x v="206"/>
    <s v="Rahul"/>
    <x v="0"/>
    <x v="3"/>
    <x v="1"/>
    <n v="5"/>
    <n v="7000"/>
    <n v="10"/>
    <x v="104"/>
    <n v="7147.12"/>
    <s v="Low Profit"/>
    <n v="2025"/>
    <x v="10"/>
    <s v="Average"/>
    <n v="3500"/>
    <n v="0"/>
    <m/>
    <m/>
  </r>
  <r>
    <n v="1456"/>
    <x v="207"/>
    <s v="Kiran"/>
    <x v="0"/>
    <x v="3"/>
    <x v="1"/>
    <n v="5"/>
    <n v="7000"/>
    <n v="10"/>
    <x v="104"/>
    <n v="4481.22"/>
    <s v="Low Profit"/>
    <n v="2025"/>
    <x v="5"/>
    <s v="Average"/>
    <n v="3500"/>
    <n v="0"/>
    <m/>
    <m/>
  </r>
  <r>
    <n v="1018"/>
    <x v="208"/>
    <s v="Sneha"/>
    <x v="3"/>
    <x v="1"/>
    <x v="0"/>
    <n v="3"/>
    <n v="12000"/>
    <n v="15"/>
    <x v="105"/>
    <n v="3739.27"/>
    <s v="Low Profit"/>
    <n v="2025"/>
    <x v="0"/>
    <s v="Average"/>
    <n v="5400"/>
    <n v="0"/>
    <m/>
    <m/>
  </r>
  <r>
    <n v="1135"/>
    <x v="99"/>
    <s v="Amit"/>
    <x v="3"/>
    <x v="2"/>
    <x v="0"/>
    <n v="4"/>
    <n v="9000"/>
    <n v="15"/>
    <x v="105"/>
    <n v="3047.27"/>
    <s v="Low Profit"/>
    <n v="2025"/>
    <x v="7"/>
    <s v="Average"/>
    <n v="5400"/>
    <n v="0"/>
    <m/>
    <m/>
  </r>
  <r>
    <n v="1164"/>
    <x v="1"/>
    <s v="Neha"/>
    <x v="1"/>
    <x v="1"/>
    <x v="0"/>
    <n v="3"/>
    <n v="12000"/>
    <n v="15"/>
    <x v="105"/>
    <n v="3706.45"/>
    <s v="Low Profit"/>
    <n v="2026"/>
    <x v="1"/>
    <s v="Average"/>
    <n v="5400"/>
    <n v="0"/>
    <m/>
    <m/>
  </r>
  <r>
    <n v="1260"/>
    <x v="209"/>
    <s v="Mrunali"/>
    <x v="1"/>
    <x v="1"/>
    <x v="0"/>
    <n v="3"/>
    <n v="12000"/>
    <n v="15"/>
    <x v="105"/>
    <n v="6480.04"/>
    <s v="Low Profit"/>
    <n v="2025"/>
    <x v="6"/>
    <s v="Average"/>
    <n v="5400"/>
    <n v="0"/>
    <m/>
    <m/>
  </r>
  <r>
    <n v="1328"/>
    <x v="84"/>
    <s v="Rohan"/>
    <x v="0"/>
    <x v="1"/>
    <x v="0"/>
    <n v="3"/>
    <n v="12000"/>
    <n v="15"/>
    <x v="105"/>
    <n v="5196.13"/>
    <s v="Low Profit"/>
    <n v="2025"/>
    <x v="7"/>
    <s v="Average"/>
    <n v="5400"/>
    <n v="0"/>
    <m/>
    <m/>
  </r>
  <r>
    <n v="1481"/>
    <x v="210"/>
    <s v="Rahul"/>
    <x v="0"/>
    <x v="1"/>
    <x v="0"/>
    <n v="3"/>
    <n v="12000"/>
    <n v="15"/>
    <x v="105"/>
    <n v="6874.63"/>
    <s v="Low Profit"/>
    <n v="2026"/>
    <x v="6"/>
    <s v="Average"/>
    <n v="5400"/>
    <n v="0"/>
    <m/>
    <m/>
  </r>
  <r>
    <n v="1012"/>
    <x v="211"/>
    <s v="Priya"/>
    <x v="2"/>
    <x v="3"/>
    <x v="1"/>
    <n v="5"/>
    <n v="7000"/>
    <n v="15"/>
    <x v="106"/>
    <n v="4767.5200000000004"/>
    <s v="Low Profit"/>
    <n v="2025"/>
    <x v="4"/>
    <s v="Average"/>
    <n v="5250"/>
    <n v="0"/>
    <m/>
    <m/>
  </r>
  <r>
    <n v="1231"/>
    <x v="138"/>
    <s v="Vikas"/>
    <x v="0"/>
    <x v="3"/>
    <x v="1"/>
    <n v="4"/>
    <n v="7000"/>
    <n v="0"/>
    <x v="107"/>
    <n v="3707.57"/>
    <s v="Low Profit"/>
    <n v="2026"/>
    <x v="7"/>
    <s v="Average"/>
    <n v="0"/>
    <n v="0"/>
    <m/>
    <m/>
  </r>
  <r>
    <n v="1498"/>
    <x v="0"/>
    <s v="Neha"/>
    <x v="3"/>
    <x v="3"/>
    <x v="1"/>
    <n v="5"/>
    <n v="7000"/>
    <n v="20"/>
    <x v="107"/>
    <n v="6204.6"/>
    <s v="Low Profit"/>
    <n v="2025"/>
    <x v="0"/>
    <s v="Average"/>
    <n v="7000"/>
    <n v="0"/>
    <m/>
    <m/>
  </r>
  <r>
    <n v="1155"/>
    <x v="212"/>
    <s v="Neha"/>
    <x v="3"/>
    <x v="2"/>
    <x v="0"/>
    <n v="3"/>
    <n v="9000"/>
    <n v="0"/>
    <x v="108"/>
    <n v="4119.68"/>
    <s v="Low Profit"/>
    <n v="2026"/>
    <x v="3"/>
    <s v="Average"/>
    <n v="0"/>
    <n v="0"/>
    <m/>
    <m/>
  </r>
  <r>
    <n v="1026"/>
    <x v="213"/>
    <s v="Rahul"/>
    <x v="1"/>
    <x v="3"/>
    <x v="1"/>
    <n v="4"/>
    <n v="7000"/>
    <n v="5"/>
    <x v="109"/>
    <n v="5096.09"/>
    <s v="Low Profit"/>
    <n v="2025"/>
    <x v="6"/>
    <s v="Average"/>
    <n v="1400"/>
    <n v="0"/>
    <m/>
    <m/>
  </r>
  <r>
    <n v="1416"/>
    <x v="214"/>
    <s v="Anjali"/>
    <x v="3"/>
    <x v="3"/>
    <x v="1"/>
    <n v="4"/>
    <n v="7000"/>
    <n v="5"/>
    <x v="109"/>
    <n v="4139.24"/>
    <s v="Low Profit"/>
    <n v="2025"/>
    <x v="1"/>
    <s v="Average"/>
    <n v="1400"/>
    <n v="0"/>
    <m/>
    <m/>
  </r>
  <r>
    <n v="1239"/>
    <x v="215"/>
    <s v="Mrunali"/>
    <x v="0"/>
    <x v="2"/>
    <x v="0"/>
    <n v="3"/>
    <n v="9000"/>
    <n v="5"/>
    <x v="110"/>
    <n v="3647.76"/>
    <s v="Low Profit"/>
    <n v="2025"/>
    <x v="2"/>
    <s v="Average"/>
    <n v="1350"/>
    <n v="0"/>
    <m/>
    <m/>
  </r>
  <r>
    <n v="1471"/>
    <x v="216"/>
    <s v="Anjali"/>
    <x v="0"/>
    <x v="2"/>
    <x v="0"/>
    <n v="3"/>
    <n v="9000"/>
    <n v="5"/>
    <x v="110"/>
    <n v="5033.4799999999996"/>
    <s v="Low Profit"/>
    <n v="2025"/>
    <x v="10"/>
    <s v="Average"/>
    <n v="1350"/>
    <n v="0"/>
    <m/>
    <m/>
  </r>
  <r>
    <n v="1089"/>
    <x v="217"/>
    <s v="Kiran"/>
    <x v="0"/>
    <x v="2"/>
    <x v="0"/>
    <n v="3"/>
    <n v="9000"/>
    <n v="10"/>
    <x v="111"/>
    <n v="5975.83"/>
    <s v="Low Profit"/>
    <n v="2025"/>
    <x v="8"/>
    <s v="Average"/>
    <n v="2700"/>
    <n v="0"/>
    <m/>
    <m/>
  </r>
  <r>
    <n v="1190"/>
    <x v="117"/>
    <s v="Rahul"/>
    <x v="3"/>
    <x v="2"/>
    <x v="0"/>
    <n v="3"/>
    <n v="9000"/>
    <n v="10"/>
    <x v="111"/>
    <n v="5353.83"/>
    <s v="Low Profit"/>
    <n v="2025"/>
    <x v="9"/>
    <s v="Average"/>
    <n v="2700"/>
    <n v="0"/>
    <m/>
    <m/>
  </r>
  <r>
    <n v="1299"/>
    <x v="218"/>
    <s v="Neha"/>
    <x v="3"/>
    <x v="2"/>
    <x v="0"/>
    <n v="3"/>
    <n v="9000"/>
    <n v="10"/>
    <x v="111"/>
    <n v="4005.52"/>
    <s v="Low Profit"/>
    <n v="2025"/>
    <x v="11"/>
    <s v="Average"/>
    <n v="2700"/>
    <n v="0"/>
    <m/>
    <m/>
  </r>
  <r>
    <n v="1421"/>
    <x v="166"/>
    <s v="Vikas"/>
    <x v="2"/>
    <x v="2"/>
    <x v="0"/>
    <n v="3"/>
    <n v="9000"/>
    <n v="10"/>
    <x v="111"/>
    <n v="2771.12"/>
    <s v="Low Profit"/>
    <n v="2025"/>
    <x v="4"/>
    <s v="Average"/>
    <n v="2700"/>
    <n v="0"/>
    <m/>
    <m/>
  </r>
  <r>
    <n v="1276"/>
    <x v="219"/>
    <s v="Anjali"/>
    <x v="2"/>
    <x v="3"/>
    <x v="1"/>
    <n v="4"/>
    <n v="7000"/>
    <n v="15"/>
    <x v="112"/>
    <n v="3981.92"/>
    <s v="Low Profit"/>
    <n v="2025"/>
    <x v="4"/>
    <s v="Average"/>
    <n v="4200"/>
    <n v="0"/>
    <m/>
    <m/>
  </r>
  <r>
    <n v="1052"/>
    <x v="220"/>
    <s v="Neha"/>
    <x v="1"/>
    <x v="2"/>
    <x v="0"/>
    <n v="3"/>
    <n v="9000"/>
    <n v="15"/>
    <x v="113"/>
    <n v="3684.37"/>
    <s v="Low Profit"/>
    <n v="2025"/>
    <x v="0"/>
    <s v="Average"/>
    <n v="4050"/>
    <n v="0"/>
    <m/>
    <m/>
  </r>
  <r>
    <n v="1074"/>
    <x v="221"/>
    <s v="Mrunali"/>
    <x v="2"/>
    <x v="2"/>
    <x v="0"/>
    <n v="3"/>
    <n v="9000"/>
    <n v="15"/>
    <x v="113"/>
    <n v="2624.62"/>
    <s v="Low Profit"/>
    <n v="2025"/>
    <x v="4"/>
    <s v="Average"/>
    <n v="4050"/>
    <n v="0"/>
    <m/>
    <m/>
  </r>
  <r>
    <n v="1238"/>
    <x v="222"/>
    <s v="Mrunali"/>
    <x v="3"/>
    <x v="2"/>
    <x v="0"/>
    <n v="3"/>
    <n v="9000"/>
    <n v="15"/>
    <x v="113"/>
    <n v="2827.61"/>
    <s v="Low Profit"/>
    <n v="2025"/>
    <x v="6"/>
    <s v="Average"/>
    <n v="4050"/>
    <n v="0"/>
    <m/>
    <m/>
  </r>
  <r>
    <n v="1493"/>
    <x v="223"/>
    <s v="Sneha"/>
    <x v="3"/>
    <x v="2"/>
    <x v="0"/>
    <n v="3"/>
    <n v="9000"/>
    <n v="15"/>
    <x v="113"/>
    <n v="2803.77"/>
    <s v="Low Profit"/>
    <n v="2025"/>
    <x v="5"/>
    <s v="Average"/>
    <n v="4050"/>
    <n v="0"/>
    <m/>
    <m/>
  </r>
  <r>
    <n v="1127"/>
    <x v="224"/>
    <s v="Neha"/>
    <x v="2"/>
    <x v="1"/>
    <x v="0"/>
    <n v="2"/>
    <n v="12000"/>
    <n v="5"/>
    <x v="114"/>
    <n v="3074.57"/>
    <s v="Low Profit"/>
    <n v="2025"/>
    <x v="1"/>
    <s v="Average"/>
    <n v="1200"/>
    <n v="0"/>
    <m/>
    <m/>
  </r>
  <r>
    <n v="1275"/>
    <x v="225"/>
    <s v="Neha"/>
    <x v="3"/>
    <x v="1"/>
    <x v="0"/>
    <n v="2"/>
    <n v="12000"/>
    <n v="5"/>
    <x v="114"/>
    <n v="2086.61"/>
    <s v="Low Profit"/>
    <n v="2025"/>
    <x v="2"/>
    <s v="Average"/>
    <n v="1200"/>
    <n v="0"/>
    <m/>
    <m/>
  </r>
  <r>
    <n v="1409"/>
    <x v="226"/>
    <s v="Anjali"/>
    <x v="3"/>
    <x v="1"/>
    <x v="0"/>
    <n v="2"/>
    <n v="12000"/>
    <n v="5"/>
    <x v="114"/>
    <n v="5427.52"/>
    <s v="Low Profit"/>
    <n v="2025"/>
    <x v="11"/>
    <s v="Average"/>
    <n v="1200"/>
    <n v="0"/>
    <m/>
    <m/>
  </r>
  <r>
    <n v="1460"/>
    <x v="121"/>
    <s v="Priya"/>
    <x v="2"/>
    <x v="1"/>
    <x v="0"/>
    <n v="2"/>
    <n v="12000"/>
    <n v="5"/>
    <x v="114"/>
    <n v="4390.26"/>
    <s v="Low Profit"/>
    <n v="2025"/>
    <x v="1"/>
    <s v="Average"/>
    <n v="1200"/>
    <n v="0"/>
    <m/>
    <m/>
  </r>
  <r>
    <n v="1479"/>
    <x v="227"/>
    <s v="Sneha"/>
    <x v="2"/>
    <x v="1"/>
    <x v="0"/>
    <n v="2"/>
    <n v="12000"/>
    <n v="5"/>
    <x v="114"/>
    <n v="5613.69"/>
    <s v="Low Profit"/>
    <n v="2026"/>
    <x v="7"/>
    <s v="Average"/>
    <n v="1200"/>
    <n v="0"/>
    <m/>
    <m/>
  </r>
  <r>
    <n v="1144"/>
    <x v="148"/>
    <s v="Anjali"/>
    <x v="2"/>
    <x v="3"/>
    <x v="1"/>
    <n v="4"/>
    <n v="7000"/>
    <n v="20"/>
    <x v="115"/>
    <n v="4932.9399999999996"/>
    <s v="Low Profit"/>
    <n v="2026"/>
    <x v="1"/>
    <s v="Average"/>
    <n v="5600"/>
    <n v="0"/>
    <m/>
    <m/>
  </r>
  <r>
    <n v="1393"/>
    <x v="88"/>
    <s v="Priya"/>
    <x v="2"/>
    <x v="3"/>
    <x v="1"/>
    <n v="4"/>
    <n v="7000"/>
    <n v="20"/>
    <x v="115"/>
    <n v="4862.3999999999996"/>
    <s v="Low Profit"/>
    <n v="2025"/>
    <x v="11"/>
    <s v="Average"/>
    <n v="5600"/>
    <n v="0"/>
    <m/>
    <m/>
  </r>
  <r>
    <n v="1072"/>
    <x v="228"/>
    <s v="Priya"/>
    <x v="3"/>
    <x v="2"/>
    <x v="0"/>
    <n v="3"/>
    <n v="9000"/>
    <n v="20"/>
    <x v="116"/>
    <n v="2571.69"/>
    <s v="Low Profit"/>
    <n v="2025"/>
    <x v="2"/>
    <s v="Average"/>
    <n v="5400"/>
    <n v="0"/>
    <m/>
    <m/>
  </r>
  <r>
    <n v="1173"/>
    <x v="72"/>
    <s v="Vikas"/>
    <x v="2"/>
    <x v="2"/>
    <x v="0"/>
    <n v="3"/>
    <n v="9000"/>
    <n v="20"/>
    <x v="116"/>
    <n v="2122.4299999999998"/>
    <s v="Low Profit"/>
    <n v="2025"/>
    <x v="11"/>
    <s v="Average"/>
    <n v="5400"/>
    <n v="0"/>
    <m/>
    <m/>
  </r>
  <r>
    <n v="1186"/>
    <x v="229"/>
    <s v="Mrunali"/>
    <x v="3"/>
    <x v="2"/>
    <x v="0"/>
    <n v="3"/>
    <n v="9000"/>
    <n v="20"/>
    <x v="116"/>
    <n v="2276.41"/>
    <s v="Low Profit"/>
    <n v="2025"/>
    <x v="11"/>
    <s v="Average"/>
    <n v="5400"/>
    <n v="0"/>
    <m/>
    <m/>
  </r>
  <r>
    <n v="1424"/>
    <x v="219"/>
    <s v="Rohan"/>
    <x v="3"/>
    <x v="1"/>
    <x v="0"/>
    <n v="2"/>
    <n v="12000"/>
    <n v="10"/>
    <x v="116"/>
    <n v="1925.91"/>
    <s v="Low Profit"/>
    <n v="2025"/>
    <x v="4"/>
    <s v="Average"/>
    <n v="2400"/>
    <n v="0"/>
    <m/>
    <m/>
  </r>
  <r>
    <n v="1470"/>
    <x v="230"/>
    <s v="Neha"/>
    <x v="3"/>
    <x v="2"/>
    <x v="0"/>
    <n v="3"/>
    <n v="9000"/>
    <n v="20"/>
    <x v="116"/>
    <n v="4061"/>
    <s v="Low Profit"/>
    <n v="2025"/>
    <x v="5"/>
    <s v="Average"/>
    <n v="5400"/>
    <n v="0"/>
    <m/>
    <m/>
  </r>
  <r>
    <n v="1029"/>
    <x v="75"/>
    <s v="Vikas"/>
    <x v="3"/>
    <x v="3"/>
    <x v="1"/>
    <n v="3"/>
    <n v="7000"/>
    <n v="0"/>
    <x v="117"/>
    <n v="3205.78"/>
    <s v="Low Profit"/>
    <n v="2025"/>
    <x v="7"/>
    <s v="Average"/>
    <n v="0"/>
    <n v="0"/>
    <m/>
    <m/>
  </r>
  <r>
    <n v="1148"/>
    <x v="231"/>
    <s v="Sneha"/>
    <x v="0"/>
    <x v="3"/>
    <x v="1"/>
    <n v="3"/>
    <n v="7000"/>
    <n v="0"/>
    <x v="117"/>
    <n v="4252.91"/>
    <s v="Low Profit"/>
    <n v="2025"/>
    <x v="6"/>
    <s v="Average"/>
    <n v="0"/>
    <n v="0"/>
    <m/>
    <m/>
  </r>
  <r>
    <n v="1227"/>
    <x v="232"/>
    <s v="Vikas"/>
    <x v="2"/>
    <x v="3"/>
    <x v="1"/>
    <n v="3"/>
    <n v="7000"/>
    <n v="0"/>
    <x v="117"/>
    <n v="1955.26"/>
    <s v="Low Profit"/>
    <n v="2026"/>
    <x v="1"/>
    <s v="Average"/>
    <n v="0"/>
    <n v="0"/>
    <m/>
    <m/>
  </r>
  <r>
    <n v="1338"/>
    <x v="98"/>
    <s v="Kiran"/>
    <x v="1"/>
    <x v="3"/>
    <x v="1"/>
    <n v="3"/>
    <n v="7000"/>
    <n v="0"/>
    <x v="117"/>
    <n v="2670.03"/>
    <s v="Low Profit"/>
    <n v="2026"/>
    <x v="6"/>
    <s v="Average"/>
    <n v="0"/>
    <n v="0"/>
    <m/>
    <m/>
  </r>
  <r>
    <n v="1436"/>
    <x v="110"/>
    <s v="Rohan"/>
    <x v="3"/>
    <x v="1"/>
    <x v="0"/>
    <n v="2"/>
    <n v="12000"/>
    <n v="15"/>
    <x v="118"/>
    <n v="2461.35"/>
    <s v="Low Profit"/>
    <n v="2025"/>
    <x v="7"/>
    <s v="Average"/>
    <n v="3600"/>
    <n v="0"/>
    <m/>
    <m/>
  </r>
  <r>
    <n v="1412"/>
    <x v="233"/>
    <s v="Amit"/>
    <x v="3"/>
    <x v="3"/>
    <x v="1"/>
    <n v="3"/>
    <n v="7000"/>
    <n v="5"/>
    <x v="119"/>
    <n v="4453.51"/>
    <s v="Low Profit"/>
    <n v="2025"/>
    <x v="8"/>
    <s v="Average"/>
    <n v="1050"/>
    <n v="0"/>
    <m/>
    <m/>
  </r>
  <r>
    <n v="1452"/>
    <x v="234"/>
    <s v="Rohan"/>
    <x v="0"/>
    <x v="3"/>
    <x v="1"/>
    <n v="3"/>
    <n v="7000"/>
    <n v="5"/>
    <x v="119"/>
    <n v="4585.6400000000003"/>
    <s v="Low Profit"/>
    <n v="2026"/>
    <x v="1"/>
    <s v="Average"/>
    <n v="1050"/>
    <n v="0"/>
    <m/>
    <m/>
  </r>
  <r>
    <n v="1121"/>
    <x v="25"/>
    <s v="Vikas"/>
    <x v="3"/>
    <x v="1"/>
    <x v="0"/>
    <n v="2"/>
    <n v="12000"/>
    <n v="20"/>
    <x v="120"/>
    <n v="4599.6000000000004"/>
    <s v="Low Profit"/>
    <n v="2026"/>
    <x v="2"/>
    <s v="Average"/>
    <n v="4800"/>
    <n v="0"/>
    <m/>
    <m/>
  </r>
  <r>
    <n v="1209"/>
    <x v="30"/>
    <s v="Vikas"/>
    <x v="0"/>
    <x v="1"/>
    <x v="0"/>
    <n v="2"/>
    <n v="12000"/>
    <n v="20"/>
    <x v="120"/>
    <n v="4011.16"/>
    <s v="Low Profit"/>
    <n v="2026"/>
    <x v="2"/>
    <s v="Average"/>
    <n v="4800"/>
    <n v="0"/>
    <m/>
    <m/>
  </r>
  <r>
    <n v="1300"/>
    <x v="183"/>
    <s v="Anjali"/>
    <x v="2"/>
    <x v="1"/>
    <x v="0"/>
    <n v="2"/>
    <n v="12000"/>
    <n v="20"/>
    <x v="120"/>
    <n v="3577.2"/>
    <s v="Low Profit"/>
    <n v="2026"/>
    <x v="6"/>
    <s v="Average"/>
    <n v="4800"/>
    <n v="0"/>
    <m/>
    <m/>
  </r>
  <r>
    <n v="1054"/>
    <x v="235"/>
    <s v="Rahul"/>
    <x v="1"/>
    <x v="3"/>
    <x v="1"/>
    <n v="3"/>
    <n v="7000"/>
    <n v="10"/>
    <x v="121"/>
    <n v="2199.89"/>
    <s v="Low Profit"/>
    <n v="2025"/>
    <x v="3"/>
    <s v="Average"/>
    <n v="2100"/>
    <n v="0"/>
    <m/>
    <m/>
  </r>
  <r>
    <n v="1369"/>
    <x v="182"/>
    <s v="Kiran"/>
    <x v="2"/>
    <x v="3"/>
    <x v="1"/>
    <n v="3"/>
    <n v="7000"/>
    <n v="10"/>
    <x v="121"/>
    <n v="3336.21"/>
    <s v="Low Profit"/>
    <n v="2025"/>
    <x v="5"/>
    <s v="Average"/>
    <n v="2100"/>
    <n v="0"/>
    <m/>
    <m/>
  </r>
  <r>
    <n v="1430"/>
    <x v="230"/>
    <s v="Kiran"/>
    <x v="1"/>
    <x v="3"/>
    <x v="1"/>
    <n v="3"/>
    <n v="7000"/>
    <n v="10"/>
    <x v="121"/>
    <n v="2718.18"/>
    <s v="Low Profit"/>
    <n v="2025"/>
    <x v="5"/>
    <s v="Average"/>
    <n v="2100"/>
    <n v="0"/>
    <m/>
    <m/>
  </r>
  <r>
    <n v="1463"/>
    <x v="34"/>
    <s v="Rohan"/>
    <x v="0"/>
    <x v="3"/>
    <x v="1"/>
    <n v="3"/>
    <n v="7000"/>
    <n v="10"/>
    <x v="121"/>
    <n v="2247.9499999999998"/>
    <s v="Low Profit"/>
    <n v="2026"/>
    <x v="6"/>
    <s v="Average"/>
    <n v="2100"/>
    <n v="0"/>
    <m/>
    <m/>
  </r>
  <r>
    <n v="1317"/>
    <x v="50"/>
    <s v="Anjali"/>
    <x v="1"/>
    <x v="2"/>
    <x v="0"/>
    <n v="2"/>
    <n v="9000"/>
    <n v="0"/>
    <x v="122"/>
    <n v="4389.66"/>
    <s v="Low Profit"/>
    <n v="2025"/>
    <x v="2"/>
    <s v="Average"/>
    <n v="0"/>
    <n v="0"/>
    <m/>
    <m/>
  </r>
  <r>
    <n v="1046"/>
    <x v="236"/>
    <s v="Vikas"/>
    <x v="2"/>
    <x v="3"/>
    <x v="1"/>
    <n v="3"/>
    <n v="7000"/>
    <n v="15"/>
    <x v="123"/>
    <n v="3970.14"/>
    <s v="Low Profit"/>
    <n v="2026"/>
    <x v="7"/>
    <s v="Average"/>
    <n v="3150"/>
    <n v="0"/>
    <m/>
    <m/>
  </r>
  <r>
    <n v="1077"/>
    <x v="158"/>
    <s v="Priya"/>
    <x v="0"/>
    <x v="3"/>
    <x v="1"/>
    <n v="3"/>
    <n v="7000"/>
    <n v="15"/>
    <x v="123"/>
    <n v="4379.87"/>
    <s v="Low Profit"/>
    <n v="2025"/>
    <x v="10"/>
    <s v="Average"/>
    <n v="3150"/>
    <n v="0"/>
    <m/>
    <m/>
  </r>
  <r>
    <n v="1368"/>
    <x v="237"/>
    <s v="Priya"/>
    <x v="3"/>
    <x v="3"/>
    <x v="1"/>
    <n v="3"/>
    <n v="7000"/>
    <n v="15"/>
    <x v="123"/>
    <n v="2908.43"/>
    <s v="Low Profit"/>
    <n v="2025"/>
    <x v="8"/>
    <s v="Average"/>
    <n v="3150"/>
    <n v="0"/>
    <m/>
    <m/>
  </r>
  <r>
    <n v="1477"/>
    <x v="27"/>
    <s v="Rohan"/>
    <x v="0"/>
    <x v="3"/>
    <x v="1"/>
    <n v="3"/>
    <n v="7000"/>
    <n v="15"/>
    <x v="123"/>
    <n v="2686.95"/>
    <s v="Low Profit"/>
    <n v="2025"/>
    <x v="4"/>
    <s v="Average"/>
    <n v="3150"/>
    <n v="0"/>
    <m/>
    <m/>
  </r>
  <r>
    <n v="1407"/>
    <x v="217"/>
    <s v="Neha"/>
    <x v="3"/>
    <x v="2"/>
    <x v="0"/>
    <n v="2"/>
    <n v="9000"/>
    <n v="5"/>
    <x v="124"/>
    <n v="3861.37"/>
    <s v="Low Profit"/>
    <n v="2025"/>
    <x v="8"/>
    <s v="Average"/>
    <n v="900"/>
    <n v="0"/>
    <m/>
    <m/>
  </r>
  <r>
    <n v="1207"/>
    <x v="198"/>
    <s v="Amit"/>
    <x v="0"/>
    <x v="2"/>
    <x v="0"/>
    <n v="2"/>
    <n v="9000"/>
    <n v="15"/>
    <x v="125"/>
    <n v="1841.95"/>
    <s v="Low Profit"/>
    <n v="2026"/>
    <x v="3"/>
    <s v="Average"/>
    <n v="2700"/>
    <n v="0"/>
    <m/>
    <m/>
  </r>
  <r>
    <n v="1229"/>
    <x v="238"/>
    <s v="Mrunali"/>
    <x v="0"/>
    <x v="2"/>
    <x v="0"/>
    <n v="2"/>
    <n v="9000"/>
    <n v="15"/>
    <x v="125"/>
    <n v="3164.75"/>
    <s v="Low Profit"/>
    <n v="2025"/>
    <x v="2"/>
    <s v="Average"/>
    <n v="2700"/>
    <n v="0"/>
    <m/>
    <m/>
  </r>
  <r>
    <n v="1408"/>
    <x v="3"/>
    <s v="Anjali"/>
    <x v="2"/>
    <x v="4"/>
    <x v="2"/>
    <n v="10"/>
    <n v="1500"/>
    <n v="0"/>
    <x v="126"/>
    <n v="2867.51"/>
    <s v="Low Profit"/>
    <n v="2026"/>
    <x v="3"/>
    <s v="Average"/>
    <n v="0"/>
    <n v="0"/>
    <m/>
    <m/>
  </r>
  <r>
    <n v="1060"/>
    <x v="196"/>
    <s v="Kiran"/>
    <x v="3"/>
    <x v="2"/>
    <x v="0"/>
    <n v="2"/>
    <n v="9000"/>
    <n v="20"/>
    <x v="127"/>
    <n v="2294.81"/>
    <s v="Low Profit"/>
    <n v="2025"/>
    <x v="9"/>
    <s v="Average"/>
    <n v="3600"/>
    <n v="0"/>
    <m/>
    <m/>
  </r>
  <r>
    <n v="1264"/>
    <x v="184"/>
    <s v="Rohan"/>
    <x v="0"/>
    <x v="4"/>
    <x v="2"/>
    <n v="10"/>
    <n v="1500"/>
    <n v="5"/>
    <x v="128"/>
    <n v="2409.37"/>
    <s v="Low Profit"/>
    <n v="2026"/>
    <x v="6"/>
    <s v="Average"/>
    <n v="750"/>
    <n v="0"/>
    <m/>
    <m/>
  </r>
  <r>
    <n v="1339"/>
    <x v="121"/>
    <s v="Rohan"/>
    <x v="1"/>
    <x v="4"/>
    <x v="2"/>
    <n v="10"/>
    <n v="1500"/>
    <n v="5"/>
    <x v="128"/>
    <n v="1946.89"/>
    <s v="Low Profit"/>
    <n v="2025"/>
    <x v="1"/>
    <s v="Average"/>
    <n v="750"/>
    <n v="0"/>
    <m/>
    <m/>
  </r>
  <r>
    <n v="1439"/>
    <x v="94"/>
    <s v="Vikas"/>
    <x v="1"/>
    <x v="4"/>
    <x v="2"/>
    <n v="10"/>
    <n v="1500"/>
    <n v="5"/>
    <x v="128"/>
    <n v="3069.37"/>
    <s v="Low Profit"/>
    <n v="2025"/>
    <x v="2"/>
    <s v="Average"/>
    <n v="750"/>
    <n v="0"/>
    <m/>
    <m/>
  </r>
  <r>
    <n v="1247"/>
    <x v="239"/>
    <s v="Rohan"/>
    <x v="1"/>
    <x v="3"/>
    <x v="1"/>
    <n v="2"/>
    <n v="7000"/>
    <n v="0"/>
    <x v="129"/>
    <n v="1680.55"/>
    <s v="Low Profit"/>
    <n v="2026"/>
    <x v="6"/>
    <s v="Average"/>
    <n v="0"/>
    <n v="0"/>
    <m/>
    <m/>
  </r>
  <r>
    <n v="1114"/>
    <x v="240"/>
    <s v="Rohan"/>
    <x v="0"/>
    <x v="3"/>
    <x v="1"/>
    <n v="2"/>
    <n v="7000"/>
    <n v="5"/>
    <x v="130"/>
    <n v="1994.71"/>
    <s v="Low Profit"/>
    <n v="2026"/>
    <x v="1"/>
    <s v="Average"/>
    <n v="700"/>
    <n v="0"/>
    <m/>
    <m/>
  </r>
  <r>
    <n v="1425"/>
    <x v="79"/>
    <s v="Mrunali"/>
    <x v="0"/>
    <x v="3"/>
    <x v="1"/>
    <n v="2"/>
    <n v="7000"/>
    <n v="5"/>
    <x v="130"/>
    <n v="2426.98"/>
    <s v="Low Profit"/>
    <n v="2026"/>
    <x v="5"/>
    <s v="Average"/>
    <n v="700"/>
    <n v="0"/>
    <m/>
    <m/>
  </r>
  <r>
    <n v="1374"/>
    <x v="34"/>
    <s v="Amit"/>
    <x v="2"/>
    <x v="4"/>
    <x v="2"/>
    <n v="9"/>
    <n v="1500"/>
    <n v="5"/>
    <x v="131"/>
    <n v="2033.28"/>
    <s v="Low Profit"/>
    <n v="2026"/>
    <x v="6"/>
    <s v="Average"/>
    <n v="675"/>
    <n v="0"/>
    <m/>
    <m/>
  </r>
  <r>
    <n v="1496"/>
    <x v="199"/>
    <s v="Anjali"/>
    <x v="0"/>
    <x v="4"/>
    <x v="2"/>
    <n v="9"/>
    <n v="1500"/>
    <n v="5"/>
    <x v="131"/>
    <n v="2782.66"/>
    <s v="Low Profit"/>
    <n v="2026"/>
    <x v="1"/>
    <s v="Average"/>
    <n v="675"/>
    <n v="0"/>
    <m/>
    <m/>
  </r>
  <r>
    <n v="1475"/>
    <x v="107"/>
    <s v="Sneha"/>
    <x v="2"/>
    <x v="4"/>
    <x v="2"/>
    <n v="10"/>
    <n v="1500"/>
    <n v="15"/>
    <x v="132"/>
    <n v="1733.64"/>
    <s v="Low Profit"/>
    <n v="2025"/>
    <x v="10"/>
    <s v="Average"/>
    <n v="2250"/>
    <n v="0"/>
    <m/>
    <m/>
  </r>
  <r>
    <n v="1488"/>
    <x v="241"/>
    <s v="Priya"/>
    <x v="3"/>
    <x v="4"/>
    <x v="2"/>
    <n v="10"/>
    <n v="1500"/>
    <n v="15"/>
    <x v="132"/>
    <n v="2505.62"/>
    <s v="Low Profit"/>
    <n v="2025"/>
    <x v="1"/>
    <s v="Average"/>
    <n v="2250"/>
    <n v="0"/>
    <m/>
    <m/>
  </r>
  <r>
    <n v="1132"/>
    <x v="179"/>
    <s v="Priya"/>
    <x v="1"/>
    <x v="3"/>
    <x v="1"/>
    <n v="2"/>
    <n v="7000"/>
    <n v="10"/>
    <x v="133"/>
    <n v="1324.29"/>
    <s v="Low Profit"/>
    <n v="2026"/>
    <x v="2"/>
    <s v="Average"/>
    <n v="1400"/>
    <n v="0"/>
    <m/>
    <m/>
  </r>
  <r>
    <n v="1042"/>
    <x v="12"/>
    <s v="Rahul"/>
    <x v="3"/>
    <x v="4"/>
    <x v="2"/>
    <n v="9"/>
    <n v="1500"/>
    <n v="10"/>
    <x v="134"/>
    <n v="2733.15"/>
    <s v="Low Profit"/>
    <n v="2025"/>
    <x v="3"/>
    <s v="Average"/>
    <n v="1350"/>
    <n v="0"/>
    <m/>
    <m/>
  </r>
  <r>
    <n v="1108"/>
    <x v="3"/>
    <s v="Priya"/>
    <x v="1"/>
    <x v="4"/>
    <x v="2"/>
    <n v="9"/>
    <n v="1500"/>
    <n v="10"/>
    <x v="134"/>
    <n v="2744.58"/>
    <s v="Low Profit"/>
    <n v="2026"/>
    <x v="3"/>
    <s v="Average"/>
    <n v="1350"/>
    <n v="0"/>
    <m/>
    <m/>
  </r>
  <r>
    <n v="1043"/>
    <x v="242"/>
    <s v="Anjali"/>
    <x v="3"/>
    <x v="4"/>
    <x v="2"/>
    <n v="10"/>
    <n v="1500"/>
    <n v="20"/>
    <x v="135"/>
    <n v="2905.41"/>
    <s v="Low Profit"/>
    <n v="2025"/>
    <x v="11"/>
    <s v="Average"/>
    <n v="3000"/>
    <n v="0"/>
    <m/>
    <m/>
  </r>
  <r>
    <n v="1157"/>
    <x v="52"/>
    <s v="Vikas"/>
    <x v="2"/>
    <x v="4"/>
    <x v="2"/>
    <n v="8"/>
    <n v="1500"/>
    <n v="0"/>
    <x v="135"/>
    <n v="1340.74"/>
    <s v="Low Profit"/>
    <n v="2025"/>
    <x v="1"/>
    <s v="Average"/>
    <n v="0"/>
    <n v="0"/>
    <m/>
    <m/>
  </r>
  <r>
    <n v="1169"/>
    <x v="243"/>
    <s v="Rohan"/>
    <x v="3"/>
    <x v="4"/>
    <x v="2"/>
    <n v="10"/>
    <n v="1500"/>
    <n v="20"/>
    <x v="135"/>
    <n v="1687.61"/>
    <s v="Low Profit"/>
    <n v="2025"/>
    <x v="1"/>
    <s v="Average"/>
    <n v="3000"/>
    <n v="0"/>
    <m/>
    <m/>
  </r>
  <r>
    <n v="1243"/>
    <x v="8"/>
    <s v="Rohan"/>
    <x v="2"/>
    <x v="4"/>
    <x v="2"/>
    <n v="8"/>
    <n v="1500"/>
    <n v="0"/>
    <x v="135"/>
    <n v="1380.43"/>
    <s v="Low Profit"/>
    <n v="2025"/>
    <x v="0"/>
    <s v="Average"/>
    <n v="0"/>
    <n v="0"/>
    <m/>
    <m/>
  </r>
  <r>
    <n v="1277"/>
    <x v="244"/>
    <s v="Amit"/>
    <x v="2"/>
    <x v="4"/>
    <x v="2"/>
    <n v="10"/>
    <n v="1500"/>
    <n v="20"/>
    <x v="135"/>
    <n v="2976.89"/>
    <s v="Low Profit"/>
    <n v="2025"/>
    <x v="9"/>
    <s v="Average"/>
    <n v="3000"/>
    <n v="0"/>
    <m/>
    <m/>
  </r>
  <r>
    <n v="1316"/>
    <x v="223"/>
    <s v="Rahul"/>
    <x v="1"/>
    <x v="4"/>
    <x v="2"/>
    <n v="8"/>
    <n v="1500"/>
    <n v="0"/>
    <x v="135"/>
    <n v="1440.26"/>
    <s v="Low Profit"/>
    <n v="2025"/>
    <x v="5"/>
    <s v="Average"/>
    <n v="0"/>
    <n v="0"/>
    <m/>
    <m/>
  </r>
  <r>
    <n v="1355"/>
    <x v="245"/>
    <s v="Rohan"/>
    <x v="0"/>
    <x v="4"/>
    <x v="2"/>
    <n v="8"/>
    <n v="1500"/>
    <n v="0"/>
    <x v="135"/>
    <n v="1566.05"/>
    <s v="Low Profit"/>
    <n v="2025"/>
    <x v="7"/>
    <s v="Average"/>
    <n v="0"/>
    <n v="0"/>
    <m/>
    <m/>
  </r>
  <r>
    <n v="1397"/>
    <x v="246"/>
    <s v="Priya"/>
    <x v="2"/>
    <x v="3"/>
    <x v="1"/>
    <n v="2"/>
    <n v="7000"/>
    <n v="15"/>
    <x v="136"/>
    <n v="2304.31"/>
    <s v="Low Profit"/>
    <n v="2025"/>
    <x v="11"/>
    <s v="Average"/>
    <n v="2100"/>
    <n v="0"/>
    <m/>
    <m/>
  </r>
  <r>
    <n v="1236"/>
    <x v="146"/>
    <s v="Amit"/>
    <x v="0"/>
    <x v="4"/>
    <x v="2"/>
    <n v="9"/>
    <n v="1500"/>
    <n v="15"/>
    <x v="137"/>
    <n v="2207.94"/>
    <s v="Low Profit"/>
    <n v="2025"/>
    <x v="3"/>
    <s v="Average"/>
    <n v="2025"/>
    <n v="0"/>
    <m/>
    <m/>
  </r>
  <r>
    <n v="1111"/>
    <x v="247"/>
    <s v="Priya"/>
    <x v="1"/>
    <x v="1"/>
    <x v="0"/>
    <n v="1"/>
    <n v="12000"/>
    <n v="5"/>
    <x v="138"/>
    <n v="2569.56"/>
    <s v="Low Profit"/>
    <n v="2025"/>
    <x v="6"/>
    <s v="Average"/>
    <n v="600"/>
    <n v="0"/>
    <m/>
    <m/>
  </r>
  <r>
    <n v="1225"/>
    <x v="133"/>
    <s v="Kiran"/>
    <x v="3"/>
    <x v="1"/>
    <x v="0"/>
    <n v="1"/>
    <n v="12000"/>
    <n v="5"/>
    <x v="138"/>
    <n v="1449.01"/>
    <s v="Low Profit"/>
    <n v="2025"/>
    <x v="2"/>
    <s v="Average"/>
    <n v="600"/>
    <n v="0"/>
    <m/>
    <m/>
  </r>
  <r>
    <n v="1476"/>
    <x v="151"/>
    <s v="Rahul"/>
    <x v="0"/>
    <x v="1"/>
    <x v="0"/>
    <n v="1"/>
    <n v="12000"/>
    <n v="5"/>
    <x v="138"/>
    <n v="1771.29"/>
    <s v="Low Profit"/>
    <n v="2025"/>
    <x v="2"/>
    <s v="Average"/>
    <n v="600"/>
    <n v="0"/>
    <m/>
    <m/>
  </r>
  <r>
    <n v="1201"/>
    <x v="12"/>
    <s v="Anjali"/>
    <x v="2"/>
    <x v="3"/>
    <x v="1"/>
    <n v="2"/>
    <n v="7000"/>
    <n v="20"/>
    <x v="139"/>
    <n v="1250.5899999999999"/>
    <s v="Low Profit"/>
    <n v="2025"/>
    <x v="3"/>
    <s v="Average"/>
    <n v="2800"/>
    <n v="0"/>
    <m/>
    <m/>
  </r>
  <r>
    <n v="1380"/>
    <x v="152"/>
    <s v="Mrunali"/>
    <x v="1"/>
    <x v="3"/>
    <x v="1"/>
    <n v="2"/>
    <n v="7000"/>
    <n v="20"/>
    <x v="139"/>
    <n v="1494.84"/>
    <s v="Low Profit"/>
    <n v="2025"/>
    <x v="11"/>
    <s v="Average"/>
    <n v="2800"/>
    <n v="0"/>
    <m/>
    <m/>
  </r>
  <r>
    <n v="1100"/>
    <x v="248"/>
    <s v="Kiran"/>
    <x v="3"/>
    <x v="4"/>
    <x v="2"/>
    <n v="8"/>
    <n v="1500"/>
    <n v="10"/>
    <x v="140"/>
    <n v="1823.83"/>
    <s v="Low Profit"/>
    <n v="2025"/>
    <x v="2"/>
    <s v="Average"/>
    <n v="1200"/>
    <n v="0"/>
    <m/>
    <m/>
  </r>
  <r>
    <n v="1141"/>
    <x v="174"/>
    <s v="Mrunali"/>
    <x v="3"/>
    <x v="4"/>
    <x v="2"/>
    <n v="8"/>
    <n v="1500"/>
    <n v="10"/>
    <x v="140"/>
    <n v="2689.29"/>
    <s v="Low Profit"/>
    <n v="2025"/>
    <x v="5"/>
    <s v="Average"/>
    <n v="1200"/>
    <n v="0"/>
    <m/>
    <m/>
  </r>
  <r>
    <n v="1167"/>
    <x v="147"/>
    <s v="Amit"/>
    <x v="1"/>
    <x v="4"/>
    <x v="2"/>
    <n v="8"/>
    <n v="1500"/>
    <n v="10"/>
    <x v="140"/>
    <n v="2421.15"/>
    <s v="Low Profit"/>
    <n v="2025"/>
    <x v="6"/>
    <s v="Average"/>
    <n v="1200"/>
    <n v="0"/>
    <m/>
    <m/>
  </r>
  <r>
    <n v="1269"/>
    <x v="249"/>
    <s v="Neha"/>
    <x v="2"/>
    <x v="4"/>
    <x v="2"/>
    <n v="8"/>
    <n v="1500"/>
    <n v="10"/>
    <x v="140"/>
    <n v="1875.75"/>
    <s v="Low Profit"/>
    <n v="2025"/>
    <x v="3"/>
    <s v="Average"/>
    <n v="1200"/>
    <n v="0"/>
    <m/>
    <m/>
  </r>
  <r>
    <n v="1278"/>
    <x v="250"/>
    <s v="Amit"/>
    <x v="0"/>
    <x v="1"/>
    <x v="0"/>
    <n v="1"/>
    <n v="12000"/>
    <n v="10"/>
    <x v="140"/>
    <n v="2168.8200000000002"/>
    <s v="Low Profit"/>
    <n v="2025"/>
    <x v="11"/>
    <s v="Average"/>
    <n v="1200"/>
    <n v="0"/>
    <m/>
    <m/>
  </r>
  <r>
    <n v="1331"/>
    <x v="35"/>
    <s v="Rahul"/>
    <x v="3"/>
    <x v="4"/>
    <x v="2"/>
    <n v="9"/>
    <n v="1500"/>
    <n v="20"/>
    <x v="140"/>
    <n v="1231.31"/>
    <s v="Low Profit"/>
    <n v="2025"/>
    <x v="7"/>
    <s v="Average"/>
    <n v="2700"/>
    <n v="0"/>
    <m/>
    <m/>
  </r>
  <r>
    <n v="1395"/>
    <x v="109"/>
    <s v="Amit"/>
    <x v="0"/>
    <x v="1"/>
    <x v="0"/>
    <n v="1"/>
    <n v="12000"/>
    <n v="10"/>
    <x v="140"/>
    <n v="1493.07"/>
    <s v="Low Profit"/>
    <n v="2025"/>
    <x v="6"/>
    <s v="Average"/>
    <n v="1200"/>
    <n v="0"/>
    <m/>
    <m/>
  </r>
  <r>
    <n v="1034"/>
    <x v="198"/>
    <s v="Sneha"/>
    <x v="2"/>
    <x v="4"/>
    <x v="2"/>
    <n v="8"/>
    <n v="1500"/>
    <n v="15"/>
    <x v="141"/>
    <n v="1062.07"/>
    <s v="Low Profit"/>
    <n v="2026"/>
    <x v="3"/>
    <s v="Average"/>
    <n v="1800"/>
    <n v="0"/>
    <m/>
    <m/>
  </r>
  <r>
    <n v="1193"/>
    <x v="251"/>
    <s v="Sneha"/>
    <x v="0"/>
    <x v="1"/>
    <x v="0"/>
    <n v="1"/>
    <n v="12000"/>
    <n v="15"/>
    <x v="141"/>
    <n v="1141.31"/>
    <s v="Low Profit"/>
    <n v="2025"/>
    <x v="10"/>
    <s v="Average"/>
    <n v="1800"/>
    <n v="0"/>
    <m/>
    <m/>
  </r>
  <r>
    <n v="1373"/>
    <x v="23"/>
    <s v="Anjali"/>
    <x v="1"/>
    <x v="4"/>
    <x v="2"/>
    <n v="8"/>
    <n v="1500"/>
    <n v="15"/>
    <x v="141"/>
    <n v="2118.4499999999998"/>
    <s v="Low Profit"/>
    <n v="2026"/>
    <x v="6"/>
    <s v="Average"/>
    <n v="1800"/>
    <n v="0"/>
    <m/>
    <m/>
  </r>
  <r>
    <n v="1422"/>
    <x v="252"/>
    <s v="Mrunali"/>
    <x v="2"/>
    <x v="1"/>
    <x v="0"/>
    <n v="1"/>
    <n v="12000"/>
    <n v="15"/>
    <x v="141"/>
    <n v="994.07"/>
    <s v="Low Profit"/>
    <n v="2025"/>
    <x v="8"/>
    <s v="Average"/>
    <n v="1800"/>
    <n v="0"/>
    <m/>
    <m/>
  </r>
  <r>
    <n v="1440"/>
    <x v="9"/>
    <s v="Rahul"/>
    <x v="0"/>
    <x v="1"/>
    <x v="0"/>
    <n v="1"/>
    <n v="12000"/>
    <n v="15"/>
    <x v="141"/>
    <n v="1076.8699999999999"/>
    <s v="Low Profit"/>
    <n v="2025"/>
    <x v="2"/>
    <s v="Average"/>
    <n v="1800"/>
    <n v="0"/>
    <m/>
    <m/>
  </r>
  <r>
    <n v="1492"/>
    <x v="139"/>
    <s v="Amit"/>
    <x v="3"/>
    <x v="4"/>
    <x v="2"/>
    <n v="8"/>
    <n v="1500"/>
    <n v="15"/>
    <x v="141"/>
    <n v="2042.79"/>
    <s v="Low Profit"/>
    <n v="2026"/>
    <x v="5"/>
    <s v="Average"/>
    <n v="1800"/>
    <n v="0"/>
    <m/>
    <m/>
  </r>
  <r>
    <n v="1129"/>
    <x v="179"/>
    <s v="Rahul"/>
    <x v="0"/>
    <x v="4"/>
    <x v="2"/>
    <n v="7"/>
    <n v="1500"/>
    <n v="5"/>
    <x v="142"/>
    <n v="1434.08"/>
    <s v="Low Profit"/>
    <n v="2026"/>
    <x v="2"/>
    <s v="Average"/>
    <n v="525"/>
    <n v="0"/>
    <m/>
    <m/>
  </r>
  <r>
    <n v="1318"/>
    <x v="253"/>
    <s v="Rohan"/>
    <x v="2"/>
    <x v="4"/>
    <x v="2"/>
    <n v="7"/>
    <n v="1500"/>
    <n v="5"/>
    <x v="142"/>
    <n v="1281.46"/>
    <s v="Low Profit"/>
    <n v="2025"/>
    <x v="10"/>
    <s v="Average"/>
    <n v="525"/>
    <n v="0"/>
    <m/>
    <m/>
  </r>
  <r>
    <n v="1389"/>
    <x v="254"/>
    <s v="Vikas"/>
    <x v="0"/>
    <x v="4"/>
    <x v="2"/>
    <n v="7"/>
    <n v="1500"/>
    <n v="5"/>
    <x v="142"/>
    <n v="897.53"/>
    <s v="Low Profit"/>
    <n v="2025"/>
    <x v="2"/>
    <s v="Average"/>
    <n v="525"/>
    <n v="0"/>
    <m/>
    <m/>
  </r>
  <r>
    <n v="1494"/>
    <x v="127"/>
    <s v="Amit"/>
    <x v="0"/>
    <x v="4"/>
    <x v="2"/>
    <n v="7"/>
    <n v="1500"/>
    <n v="5"/>
    <x v="142"/>
    <n v="950.53"/>
    <s v="Low Profit"/>
    <n v="2025"/>
    <x v="11"/>
    <s v="Average"/>
    <n v="525"/>
    <n v="0"/>
    <m/>
    <m/>
  </r>
  <r>
    <n v="1084"/>
    <x v="255"/>
    <s v="Anjali"/>
    <x v="0"/>
    <x v="4"/>
    <x v="2"/>
    <n v="8"/>
    <n v="1500"/>
    <n v="20"/>
    <x v="143"/>
    <n v="1841.71"/>
    <s v="Low Profit"/>
    <n v="2025"/>
    <x v="9"/>
    <s v="Average"/>
    <n v="2400"/>
    <n v="0"/>
    <m/>
    <m/>
  </r>
  <r>
    <n v="1402"/>
    <x v="205"/>
    <s v="Mrunali"/>
    <x v="3"/>
    <x v="4"/>
    <x v="2"/>
    <n v="8"/>
    <n v="1500"/>
    <n v="20"/>
    <x v="143"/>
    <n v="977.5"/>
    <s v="Low Profit"/>
    <n v="2026"/>
    <x v="3"/>
    <s v="Average"/>
    <n v="2400"/>
    <n v="0"/>
    <m/>
    <m/>
  </r>
  <r>
    <n v="1014"/>
    <x v="256"/>
    <s v="Rohan"/>
    <x v="2"/>
    <x v="4"/>
    <x v="2"/>
    <n v="7"/>
    <n v="1500"/>
    <n v="10"/>
    <x v="144"/>
    <n v="1035.6300000000001"/>
    <s v="Low Profit"/>
    <n v="2026"/>
    <x v="7"/>
    <s v="Average"/>
    <n v="1050"/>
    <n v="0"/>
    <m/>
    <m/>
  </r>
  <r>
    <n v="1398"/>
    <x v="257"/>
    <s v="Vikas"/>
    <x v="0"/>
    <x v="4"/>
    <x v="2"/>
    <n v="7"/>
    <n v="1500"/>
    <n v="10"/>
    <x v="144"/>
    <n v="1377"/>
    <s v="Low Profit"/>
    <n v="2025"/>
    <x v="3"/>
    <s v="Average"/>
    <n v="1050"/>
    <n v="0"/>
    <m/>
    <m/>
  </r>
  <r>
    <n v="1112"/>
    <x v="176"/>
    <s v="Sneha"/>
    <x v="3"/>
    <x v="4"/>
    <x v="2"/>
    <n v="6"/>
    <n v="1500"/>
    <n v="0"/>
    <x v="145"/>
    <n v="1374.74"/>
    <s v="Low Profit"/>
    <n v="2026"/>
    <x v="2"/>
    <s v="Average"/>
    <n v="0"/>
    <n v="0"/>
    <m/>
    <m/>
  </r>
  <r>
    <n v="1097"/>
    <x v="142"/>
    <s v="Priya"/>
    <x v="1"/>
    <x v="4"/>
    <x v="2"/>
    <n v="7"/>
    <n v="1500"/>
    <n v="15"/>
    <x v="146"/>
    <n v="966.53"/>
    <s v="Low Profit"/>
    <n v="2026"/>
    <x v="3"/>
    <s v="Average"/>
    <n v="1575"/>
    <n v="0"/>
    <m/>
    <m/>
  </r>
  <r>
    <n v="1333"/>
    <x v="175"/>
    <s v="Amit"/>
    <x v="2"/>
    <x v="4"/>
    <x v="2"/>
    <n v="7"/>
    <n v="1500"/>
    <n v="15"/>
    <x v="146"/>
    <n v="1802.53"/>
    <s v="Low Profit"/>
    <n v="2025"/>
    <x v="3"/>
    <s v="Average"/>
    <n v="1575"/>
    <n v="0"/>
    <m/>
    <m/>
  </r>
  <r>
    <n v="1433"/>
    <x v="186"/>
    <s v="Anjali"/>
    <x v="2"/>
    <x v="4"/>
    <x v="2"/>
    <n v="7"/>
    <n v="1500"/>
    <n v="15"/>
    <x v="146"/>
    <n v="1646.54"/>
    <s v="Low Profit"/>
    <n v="2025"/>
    <x v="10"/>
    <s v="Average"/>
    <n v="1575"/>
    <n v="0"/>
    <m/>
    <m/>
  </r>
  <r>
    <n v="1175"/>
    <x v="254"/>
    <s v="Rahul"/>
    <x v="2"/>
    <x v="4"/>
    <x v="2"/>
    <n v="6"/>
    <n v="1500"/>
    <n v="5"/>
    <x v="147"/>
    <n v="1722.47"/>
    <s v="Low Profit"/>
    <n v="2025"/>
    <x v="2"/>
    <s v="Average"/>
    <n v="450"/>
    <n v="0"/>
    <m/>
    <m/>
  </r>
  <r>
    <n v="1282"/>
    <x v="258"/>
    <s v="Rahul"/>
    <x v="3"/>
    <x v="4"/>
    <x v="2"/>
    <n v="6"/>
    <n v="1500"/>
    <n v="5"/>
    <x v="147"/>
    <n v="1215.46"/>
    <s v="Low Profit"/>
    <n v="2026"/>
    <x v="1"/>
    <s v="Average"/>
    <n v="450"/>
    <n v="0"/>
    <m/>
    <m/>
  </r>
  <r>
    <n v="1153"/>
    <x v="259"/>
    <s v="Vikas"/>
    <x v="2"/>
    <x v="4"/>
    <x v="2"/>
    <n v="6"/>
    <n v="1500"/>
    <n v="10"/>
    <x v="148"/>
    <n v="1000"/>
    <s v="Low Profit"/>
    <n v="2025"/>
    <x v="4"/>
    <s v="Average"/>
    <n v="900"/>
    <n v="0"/>
    <m/>
    <m/>
  </r>
  <r>
    <n v="1262"/>
    <x v="260"/>
    <s v="Vikas"/>
    <x v="3"/>
    <x v="4"/>
    <x v="2"/>
    <n v="6"/>
    <n v="1500"/>
    <n v="10"/>
    <x v="148"/>
    <n v="988.89"/>
    <s v="Low Profit"/>
    <n v="2025"/>
    <x v="11"/>
    <s v="Average"/>
    <n v="900"/>
    <n v="0"/>
    <m/>
    <m/>
  </r>
  <r>
    <n v="1296"/>
    <x v="261"/>
    <s v="Vikas"/>
    <x v="2"/>
    <x v="4"/>
    <x v="2"/>
    <n v="6"/>
    <n v="1500"/>
    <n v="10"/>
    <x v="148"/>
    <n v="1310.1400000000001"/>
    <s v="Low Profit"/>
    <n v="2025"/>
    <x v="10"/>
    <s v="Average"/>
    <n v="900"/>
    <n v="0"/>
    <m/>
    <m/>
  </r>
  <r>
    <n v="1347"/>
    <x v="206"/>
    <s v="Vikas"/>
    <x v="2"/>
    <x v="2"/>
    <x v="0"/>
    <n v="1"/>
    <n v="9000"/>
    <n v="10"/>
    <x v="148"/>
    <n v="875.68"/>
    <s v="Low Profit"/>
    <n v="2025"/>
    <x v="10"/>
    <s v="Average"/>
    <n v="900"/>
    <n v="0"/>
    <m/>
    <m/>
  </r>
  <r>
    <n v="1203"/>
    <x v="262"/>
    <s v="Anjali"/>
    <x v="3"/>
    <x v="5"/>
    <x v="2"/>
    <n v="10"/>
    <n v="800"/>
    <n v="0"/>
    <x v="149"/>
    <n v="1851.52"/>
    <s v="Low Profit"/>
    <n v="2025"/>
    <x v="4"/>
    <s v="Average"/>
    <n v="0"/>
    <n v="0"/>
    <m/>
    <m/>
  </r>
  <r>
    <n v="1279"/>
    <x v="263"/>
    <s v="Mrunali"/>
    <x v="0"/>
    <x v="5"/>
    <x v="2"/>
    <n v="10"/>
    <n v="800"/>
    <n v="0"/>
    <x v="149"/>
    <n v="1487.14"/>
    <s v="Low Profit"/>
    <n v="2026"/>
    <x v="2"/>
    <s v="Average"/>
    <n v="0"/>
    <n v="0"/>
    <m/>
    <m/>
  </r>
  <r>
    <n v="1432"/>
    <x v="264"/>
    <s v="Kiran"/>
    <x v="1"/>
    <x v="5"/>
    <x v="2"/>
    <n v="10"/>
    <n v="800"/>
    <n v="0"/>
    <x v="149"/>
    <n v="1044.05"/>
    <s v="Low Profit"/>
    <n v="2025"/>
    <x v="8"/>
    <s v="Average"/>
    <n v="0"/>
    <n v="0"/>
    <m/>
    <m/>
  </r>
  <r>
    <n v="1491"/>
    <x v="90"/>
    <s v="Anjali"/>
    <x v="0"/>
    <x v="5"/>
    <x v="2"/>
    <n v="10"/>
    <n v="800"/>
    <n v="0"/>
    <x v="149"/>
    <n v="1075.5999999999999"/>
    <s v="Low Profit"/>
    <n v="2025"/>
    <x v="6"/>
    <s v="Average"/>
    <n v="0"/>
    <n v="0"/>
    <m/>
    <m/>
  </r>
  <r>
    <n v="1075"/>
    <x v="168"/>
    <s v="Sneha"/>
    <x v="3"/>
    <x v="2"/>
    <x v="0"/>
    <n v="1"/>
    <n v="9000"/>
    <n v="15"/>
    <x v="150"/>
    <n v="1276.3"/>
    <s v="Low Profit"/>
    <n v="2026"/>
    <x v="1"/>
    <s v="Average"/>
    <n v="1350"/>
    <n v="0"/>
    <m/>
    <m/>
  </r>
  <r>
    <n v="1168"/>
    <x v="265"/>
    <s v="Rahul"/>
    <x v="1"/>
    <x v="4"/>
    <x v="2"/>
    <n v="6"/>
    <n v="1500"/>
    <n v="15"/>
    <x v="150"/>
    <n v="1907.01"/>
    <s v="Low Profit"/>
    <n v="2026"/>
    <x v="1"/>
    <s v="Average"/>
    <n v="1350"/>
    <n v="0"/>
    <m/>
    <m/>
  </r>
  <r>
    <n v="1367"/>
    <x v="266"/>
    <s v="Mrunali"/>
    <x v="3"/>
    <x v="2"/>
    <x v="0"/>
    <n v="1"/>
    <n v="9000"/>
    <n v="15"/>
    <x v="150"/>
    <n v="1350.71"/>
    <s v="Low Profit"/>
    <n v="2026"/>
    <x v="6"/>
    <s v="Average"/>
    <n v="1350"/>
    <n v="0"/>
    <m/>
    <m/>
  </r>
  <r>
    <n v="1486"/>
    <x v="3"/>
    <s v="Sneha"/>
    <x v="1"/>
    <x v="4"/>
    <x v="2"/>
    <n v="6"/>
    <n v="1500"/>
    <n v="15"/>
    <x v="150"/>
    <n v="900.08"/>
    <s v="Low Profit"/>
    <n v="2026"/>
    <x v="3"/>
    <s v="Average"/>
    <n v="1350"/>
    <n v="0"/>
    <m/>
    <m/>
  </r>
  <r>
    <n v="1117"/>
    <x v="267"/>
    <s v="Rohan"/>
    <x v="0"/>
    <x v="5"/>
    <x v="2"/>
    <n v="10"/>
    <n v="800"/>
    <n v="5"/>
    <x v="151"/>
    <n v="1071.08"/>
    <s v="Low Profit"/>
    <n v="2026"/>
    <x v="6"/>
    <s v="Average"/>
    <n v="400"/>
    <n v="0"/>
    <m/>
    <m/>
  </r>
  <r>
    <n v="1005"/>
    <x v="97"/>
    <s v="Mrunali"/>
    <x v="2"/>
    <x v="4"/>
    <x v="2"/>
    <n v="5"/>
    <n v="1500"/>
    <n v="0"/>
    <x v="152"/>
    <n v="961.67"/>
    <s v="Low Profit"/>
    <n v="2025"/>
    <x v="11"/>
    <s v="Average"/>
    <n v="0"/>
    <n v="0"/>
    <m/>
    <m/>
  </r>
  <r>
    <n v="1325"/>
    <x v="268"/>
    <s v="Vikas"/>
    <x v="3"/>
    <x v="4"/>
    <x v="2"/>
    <n v="5"/>
    <n v="1500"/>
    <n v="0"/>
    <x v="152"/>
    <n v="1009.1"/>
    <s v="Low Profit"/>
    <n v="2025"/>
    <x v="8"/>
    <s v="Average"/>
    <n v="0"/>
    <n v="0"/>
    <m/>
    <m/>
  </r>
  <r>
    <n v="1016"/>
    <x v="97"/>
    <s v="Neha"/>
    <x v="2"/>
    <x v="5"/>
    <x v="2"/>
    <n v="10"/>
    <n v="800"/>
    <n v="10"/>
    <x v="153"/>
    <n v="1247.17"/>
    <s v="Low Profit"/>
    <n v="2025"/>
    <x v="11"/>
    <s v="Average"/>
    <n v="800"/>
    <n v="0"/>
    <m/>
    <m/>
  </r>
  <r>
    <n v="1031"/>
    <x v="269"/>
    <s v="Sneha"/>
    <x v="3"/>
    <x v="4"/>
    <x v="2"/>
    <n v="6"/>
    <n v="1500"/>
    <n v="20"/>
    <x v="153"/>
    <n v="998.86"/>
    <s v="Low Profit"/>
    <n v="2025"/>
    <x v="4"/>
    <s v="Average"/>
    <n v="1800"/>
    <n v="0"/>
    <m/>
    <m/>
  </r>
  <r>
    <n v="1172"/>
    <x v="270"/>
    <s v="Kiran"/>
    <x v="0"/>
    <x v="5"/>
    <x v="2"/>
    <n v="9"/>
    <n v="800"/>
    <n v="0"/>
    <x v="153"/>
    <n v="1358.79"/>
    <s v="Low Profit"/>
    <n v="2026"/>
    <x v="6"/>
    <s v="Average"/>
    <n v="0"/>
    <n v="0"/>
    <m/>
    <m/>
  </r>
  <r>
    <n v="1285"/>
    <x v="271"/>
    <s v="Rahul"/>
    <x v="2"/>
    <x v="2"/>
    <x v="0"/>
    <n v="1"/>
    <n v="9000"/>
    <n v="20"/>
    <x v="153"/>
    <n v="748.74"/>
    <s v="Low Profit"/>
    <n v="2025"/>
    <x v="2"/>
    <s v="Average"/>
    <n v="1800"/>
    <n v="0"/>
    <m/>
    <m/>
  </r>
  <r>
    <n v="1376"/>
    <x v="187"/>
    <s v="Rohan"/>
    <x v="0"/>
    <x v="5"/>
    <x v="2"/>
    <n v="10"/>
    <n v="800"/>
    <n v="10"/>
    <x v="153"/>
    <n v="964.06"/>
    <s v="Low Profit"/>
    <n v="2025"/>
    <x v="0"/>
    <s v="Average"/>
    <n v="800"/>
    <n v="0"/>
    <m/>
    <m/>
  </r>
  <r>
    <n v="1420"/>
    <x v="245"/>
    <s v="Priya"/>
    <x v="1"/>
    <x v="5"/>
    <x v="2"/>
    <n v="9"/>
    <n v="800"/>
    <n v="0"/>
    <x v="153"/>
    <n v="955.1"/>
    <s v="Low Profit"/>
    <n v="2025"/>
    <x v="7"/>
    <s v="Average"/>
    <n v="0"/>
    <n v="0"/>
    <m/>
    <m/>
  </r>
  <r>
    <n v="1448"/>
    <x v="83"/>
    <s v="Sneha"/>
    <x v="0"/>
    <x v="4"/>
    <x v="2"/>
    <n v="5"/>
    <n v="1500"/>
    <n v="5"/>
    <x v="154"/>
    <n v="607.32000000000005"/>
    <s v="Low Profit"/>
    <n v="2026"/>
    <x v="7"/>
    <s v="Average"/>
    <n v="375"/>
    <n v="0"/>
    <m/>
    <m/>
  </r>
  <r>
    <n v="1461"/>
    <x v="272"/>
    <s v="Rohan"/>
    <x v="0"/>
    <x v="4"/>
    <x v="2"/>
    <n v="5"/>
    <n v="1500"/>
    <n v="5"/>
    <x v="154"/>
    <n v="963.22"/>
    <s v="Low Profit"/>
    <n v="2025"/>
    <x v="7"/>
    <s v="Average"/>
    <n v="375"/>
    <n v="0"/>
    <m/>
    <m/>
  </r>
  <r>
    <n v="1081"/>
    <x v="230"/>
    <s v="Amit"/>
    <x v="1"/>
    <x v="4"/>
    <x v="2"/>
    <n v="5"/>
    <n v="1500"/>
    <n v="10"/>
    <x v="155"/>
    <n v="1582.71"/>
    <s v="Low Profit"/>
    <n v="2025"/>
    <x v="5"/>
    <s v="Average"/>
    <n v="750"/>
    <n v="0"/>
    <m/>
    <m/>
  </r>
  <r>
    <n v="1224"/>
    <x v="177"/>
    <s v="Mrunali"/>
    <x v="0"/>
    <x v="3"/>
    <x v="1"/>
    <n v="1"/>
    <n v="7000"/>
    <n v="5"/>
    <x v="156"/>
    <n v="618.83000000000004"/>
    <s v="Low Profit"/>
    <n v="2025"/>
    <x v="6"/>
    <s v="Average"/>
    <n v="350"/>
    <n v="0"/>
    <m/>
    <m/>
  </r>
  <r>
    <n v="1030"/>
    <x v="273"/>
    <s v="Rohan"/>
    <x v="0"/>
    <x v="5"/>
    <x v="2"/>
    <n v="10"/>
    <n v="800"/>
    <n v="20"/>
    <x v="157"/>
    <n v="550.73"/>
    <s v="Low Profit"/>
    <n v="2025"/>
    <x v="6"/>
    <s v="Average"/>
    <n v="1600"/>
    <n v="0"/>
    <m/>
    <m/>
  </r>
  <r>
    <n v="1073"/>
    <x v="62"/>
    <s v="Amit"/>
    <x v="1"/>
    <x v="5"/>
    <x v="2"/>
    <n v="8"/>
    <n v="800"/>
    <n v="0"/>
    <x v="157"/>
    <n v="1420.99"/>
    <s v="Low Profit"/>
    <n v="2025"/>
    <x v="10"/>
    <s v="Average"/>
    <n v="0"/>
    <n v="0"/>
    <m/>
    <m/>
  </r>
  <r>
    <n v="1298"/>
    <x v="53"/>
    <s v="Rahul"/>
    <x v="3"/>
    <x v="5"/>
    <x v="2"/>
    <n v="8"/>
    <n v="800"/>
    <n v="0"/>
    <x v="157"/>
    <n v="1504.79"/>
    <s v="Low Profit"/>
    <n v="2025"/>
    <x v="5"/>
    <s v="Average"/>
    <n v="0"/>
    <n v="0"/>
    <m/>
    <m/>
  </r>
  <r>
    <n v="1194"/>
    <x v="57"/>
    <s v="Priya"/>
    <x v="0"/>
    <x v="3"/>
    <x v="1"/>
    <n v="1"/>
    <n v="7000"/>
    <n v="10"/>
    <x v="158"/>
    <n v="1205.04"/>
    <s v="Low Profit"/>
    <n v="2026"/>
    <x v="3"/>
    <s v="Average"/>
    <n v="700"/>
    <n v="0"/>
    <m/>
    <m/>
  </r>
  <r>
    <n v="1234"/>
    <x v="4"/>
    <s v="Vikas"/>
    <x v="0"/>
    <x v="3"/>
    <x v="1"/>
    <n v="1"/>
    <n v="7000"/>
    <n v="10"/>
    <x v="158"/>
    <n v="971.9"/>
    <s v="Low Profit"/>
    <n v="2025"/>
    <x v="4"/>
    <s v="Average"/>
    <n v="700"/>
    <n v="0"/>
    <m/>
    <m/>
  </r>
  <r>
    <n v="1143"/>
    <x v="209"/>
    <s v="Sneha"/>
    <x v="1"/>
    <x v="5"/>
    <x v="2"/>
    <n v="9"/>
    <n v="800"/>
    <n v="15"/>
    <x v="159"/>
    <n v="681.27"/>
    <s v="Low Profit"/>
    <n v="2025"/>
    <x v="6"/>
    <s v="Average"/>
    <n v="1080"/>
    <n v="0"/>
    <m/>
    <m/>
  </r>
  <r>
    <n v="1345"/>
    <x v="119"/>
    <s v="Priya"/>
    <x v="3"/>
    <x v="4"/>
    <x v="2"/>
    <n v="4"/>
    <n v="1500"/>
    <n v="0"/>
    <x v="160"/>
    <n v="1407.91"/>
    <s v="Low Profit"/>
    <n v="2026"/>
    <x v="2"/>
    <s v="Average"/>
    <n v="0"/>
    <n v="0"/>
    <m/>
    <m/>
  </r>
  <r>
    <n v="1482"/>
    <x v="274"/>
    <s v="Sneha"/>
    <x v="1"/>
    <x v="4"/>
    <x v="2"/>
    <n v="4"/>
    <n v="1500"/>
    <n v="0"/>
    <x v="160"/>
    <n v="1099.3"/>
    <s v="Low Profit"/>
    <n v="2026"/>
    <x v="1"/>
    <s v="Average"/>
    <n v="0"/>
    <n v="0"/>
    <m/>
    <m/>
  </r>
  <r>
    <n v="1080"/>
    <x v="76"/>
    <s v="Sneha"/>
    <x v="1"/>
    <x v="5"/>
    <x v="2"/>
    <n v="9"/>
    <n v="800"/>
    <n v="20"/>
    <x v="161"/>
    <n v="581.71"/>
    <s v="Low Profit"/>
    <n v="2026"/>
    <x v="5"/>
    <s v="Average"/>
    <n v="1440"/>
    <n v="0"/>
    <m/>
    <m/>
  </r>
  <r>
    <n v="1116"/>
    <x v="184"/>
    <s v="Kiran"/>
    <x v="0"/>
    <x v="5"/>
    <x v="2"/>
    <n v="9"/>
    <n v="800"/>
    <n v="20"/>
    <x v="161"/>
    <n v="905.86"/>
    <s v="Low Profit"/>
    <n v="2026"/>
    <x v="6"/>
    <s v="Average"/>
    <n v="1440"/>
    <n v="0"/>
    <m/>
    <m/>
  </r>
  <r>
    <n v="1226"/>
    <x v="275"/>
    <s v="Priya"/>
    <x v="2"/>
    <x v="5"/>
    <x v="2"/>
    <n v="8"/>
    <n v="800"/>
    <n v="10"/>
    <x v="161"/>
    <n v="657.34"/>
    <s v="Low Profit"/>
    <n v="2026"/>
    <x v="7"/>
    <s v="Average"/>
    <n v="640"/>
    <n v="0"/>
    <m/>
    <m/>
  </r>
  <r>
    <n v="1340"/>
    <x v="263"/>
    <s v="Rohan"/>
    <x v="2"/>
    <x v="5"/>
    <x v="2"/>
    <n v="9"/>
    <n v="800"/>
    <n v="20"/>
    <x v="161"/>
    <n v="907.96"/>
    <s v="Low Profit"/>
    <n v="2026"/>
    <x v="2"/>
    <s v="Average"/>
    <n v="1440"/>
    <n v="0"/>
    <m/>
    <m/>
  </r>
  <r>
    <n v="1176"/>
    <x v="276"/>
    <s v="Vikas"/>
    <x v="3"/>
    <x v="4"/>
    <x v="2"/>
    <n v="4"/>
    <n v="1500"/>
    <n v="5"/>
    <x v="162"/>
    <n v="1143.96"/>
    <s v="Low Profit"/>
    <n v="2026"/>
    <x v="7"/>
    <s v="Average"/>
    <n v="300"/>
    <n v="0"/>
    <m/>
    <m/>
  </r>
  <r>
    <n v="1351"/>
    <x v="163"/>
    <s v="Sneha"/>
    <x v="0"/>
    <x v="4"/>
    <x v="2"/>
    <n v="4"/>
    <n v="1500"/>
    <n v="5"/>
    <x v="162"/>
    <n v="926.81"/>
    <s v="Low Profit"/>
    <n v="2025"/>
    <x v="7"/>
    <s v="Average"/>
    <n v="300"/>
    <n v="0"/>
    <m/>
    <m/>
  </r>
  <r>
    <n v="1006"/>
    <x v="179"/>
    <s v="Sneha"/>
    <x v="3"/>
    <x v="3"/>
    <x v="1"/>
    <n v="1"/>
    <n v="7000"/>
    <n v="20"/>
    <x v="163"/>
    <n v="1084.1500000000001"/>
    <s v="Low Profit"/>
    <n v="2026"/>
    <x v="2"/>
    <s v="Average"/>
    <n v="1400"/>
    <n v="0"/>
    <m/>
    <m/>
  </r>
  <r>
    <n v="1310"/>
    <x v="91"/>
    <s v="Neha"/>
    <x v="3"/>
    <x v="5"/>
    <x v="2"/>
    <n v="7"/>
    <n v="800"/>
    <n v="0"/>
    <x v="163"/>
    <n v="1127.4100000000001"/>
    <s v="Low Profit"/>
    <n v="2025"/>
    <x v="4"/>
    <s v="Average"/>
    <n v="0"/>
    <n v="0"/>
    <m/>
    <m/>
  </r>
  <r>
    <n v="1361"/>
    <x v="277"/>
    <s v="Rahul"/>
    <x v="1"/>
    <x v="3"/>
    <x v="1"/>
    <n v="1"/>
    <n v="7000"/>
    <n v="20"/>
    <x v="163"/>
    <n v="792.08"/>
    <s v="Low Profit"/>
    <n v="2026"/>
    <x v="5"/>
    <s v="Average"/>
    <n v="1400"/>
    <n v="0"/>
    <m/>
    <m/>
  </r>
  <r>
    <n v="1500"/>
    <x v="278"/>
    <s v="Rohan"/>
    <x v="1"/>
    <x v="5"/>
    <x v="2"/>
    <n v="7"/>
    <n v="800"/>
    <n v="0"/>
    <x v="163"/>
    <n v="498.38"/>
    <s v="Low Profit"/>
    <n v="2025"/>
    <x v="5"/>
    <s v="Average"/>
    <n v="0"/>
    <n v="0"/>
    <m/>
    <m/>
  </r>
  <r>
    <n v="1198"/>
    <x v="279"/>
    <s v="Neha"/>
    <x v="2"/>
    <x v="5"/>
    <x v="2"/>
    <n v="8"/>
    <n v="800"/>
    <n v="15"/>
    <x v="164"/>
    <n v="1260.24"/>
    <s v="Low Profit"/>
    <n v="2026"/>
    <x v="1"/>
    <s v="Average"/>
    <n v="960"/>
    <n v="0"/>
    <m/>
    <m/>
  </r>
  <r>
    <n v="1268"/>
    <x v="111"/>
    <s v="Mrunali"/>
    <x v="3"/>
    <x v="4"/>
    <x v="2"/>
    <n v="4"/>
    <n v="1500"/>
    <n v="10"/>
    <x v="165"/>
    <n v="734.37"/>
    <s v="Low Profit"/>
    <n v="2025"/>
    <x v="4"/>
    <s v="Average"/>
    <n v="600"/>
    <n v="0"/>
    <m/>
    <m/>
  </r>
  <r>
    <n v="1334"/>
    <x v="280"/>
    <s v="Kiran"/>
    <x v="0"/>
    <x v="4"/>
    <x v="2"/>
    <n v="4"/>
    <n v="1500"/>
    <n v="10"/>
    <x v="165"/>
    <n v="1285.18"/>
    <s v="Low Profit"/>
    <n v="2026"/>
    <x v="2"/>
    <s v="Average"/>
    <n v="600"/>
    <n v="0"/>
    <m/>
    <m/>
  </r>
  <r>
    <n v="1154"/>
    <x v="281"/>
    <s v="Neha"/>
    <x v="1"/>
    <x v="5"/>
    <x v="2"/>
    <n v="7"/>
    <n v="800"/>
    <n v="5"/>
    <x v="166"/>
    <n v="707.51"/>
    <s v="Low Profit"/>
    <n v="2026"/>
    <x v="3"/>
    <s v="Average"/>
    <n v="280"/>
    <n v="0"/>
    <m/>
    <m/>
  </r>
  <r>
    <n v="1104"/>
    <x v="282"/>
    <s v="Anjali"/>
    <x v="0"/>
    <x v="4"/>
    <x v="2"/>
    <n v="4"/>
    <n v="1500"/>
    <n v="15"/>
    <x v="167"/>
    <n v="742.14"/>
    <s v="Low Profit"/>
    <n v="2025"/>
    <x v="1"/>
    <s v="Average"/>
    <n v="900"/>
    <n v="0"/>
    <m/>
    <m/>
  </r>
  <r>
    <n v="1274"/>
    <x v="147"/>
    <s v="Mrunali"/>
    <x v="1"/>
    <x v="4"/>
    <x v="2"/>
    <n v="4"/>
    <n v="1500"/>
    <n v="15"/>
    <x v="167"/>
    <n v="462.78"/>
    <s v="Low Profit"/>
    <n v="2025"/>
    <x v="6"/>
    <s v="Average"/>
    <n v="900"/>
    <n v="0"/>
    <m/>
    <m/>
  </r>
  <r>
    <n v="1284"/>
    <x v="217"/>
    <s v="Rohan"/>
    <x v="0"/>
    <x v="4"/>
    <x v="2"/>
    <n v="4"/>
    <n v="1500"/>
    <n v="15"/>
    <x v="167"/>
    <n v="625.33000000000004"/>
    <s v="Low Profit"/>
    <n v="2025"/>
    <x v="8"/>
    <s v="Average"/>
    <n v="900"/>
    <n v="0"/>
    <m/>
    <m/>
  </r>
  <r>
    <n v="1371"/>
    <x v="203"/>
    <s v="Rohan"/>
    <x v="1"/>
    <x v="4"/>
    <x v="2"/>
    <n v="4"/>
    <n v="1500"/>
    <n v="15"/>
    <x v="167"/>
    <n v="872.76"/>
    <s v="Low Profit"/>
    <n v="2026"/>
    <x v="7"/>
    <s v="Average"/>
    <n v="900"/>
    <n v="0"/>
    <m/>
    <m/>
  </r>
  <r>
    <n v="1429"/>
    <x v="189"/>
    <s v="Vikas"/>
    <x v="0"/>
    <x v="4"/>
    <x v="2"/>
    <n v="4"/>
    <n v="1500"/>
    <n v="15"/>
    <x v="167"/>
    <n v="523.34"/>
    <s v="Low Profit"/>
    <n v="2026"/>
    <x v="3"/>
    <s v="Average"/>
    <n v="900"/>
    <n v="0"/>
    <m/>
    <m/>
  </r>
  <r>
    <n v="1068"/>
    <x v="283"/>
    <s v="Rahul"/>
    <x v="1"/>
    <x v="5"/>
    <x v="2"/>
    <n v="7"/>
    <n v="800"/>
    <n v="10"/>
    <x v="168"/>
    <n v="408.31"/>
    <s v="Low Profit"/>
    <n v="2026"/>
    <x v="7"/>
    <s v="Average"/>
    <n v="560"/>
    <n v="0"/>
    <m/>
    <m/>
  </r>
  <r>
    <n v="1094"/>
    <x v="284"/>
    <s v="Anjali"/>
    <x v="3"/>
    <x v="5"/>
    <x v="2"/>
    <n v="7"/>
    <n v="800"/>
    <n v="10"/>
    <x v="168"/>
    <n v="1243.44"/>
    <s v="Low Profit"/>
    <n v="2025"/>
    <x v="9"/>
    <s v="Average"/>
    <n v="560"/>
    <n v="0"/>
    <m/>
    <m/>
  </r>
  <r>
    <n v="1319"/>
    <x v="92"/>
    <s v="Priya"/>
    <x v="3"/>
    <x v="5"/>
    <x v="2"/>
    <n v="6"/>
    <n v="800"/>
    <n v="0"/>
    <x v="169"/>
    <n v="1032.72"/>
    <s v="Low Profit"/>
    <n v="2025"/>
    <x v="7"/>
    <s v="Average"/>
    <n v="0"/>
    <n v="0"/>
    <m/>
    <m/>
  </r>
  <r>
    <n v="1040"/>
    <x v="285"/>
    <s v="Anjali"/>
    <x v="0"/>
    <x v="5"/>
    <x v="2"/>
    <n v="7"/>
    <n v="800"/>
    <n v="15"/>
    <x v="170"/>
    <n v="665.82"/>
    <s v="Low Profit"/>
    <n v="2025"/>
    <x v="0"/>
    <s v="Average"/>
    <n v="840"/>
    <n v="0"/>
    <m/>
    <m/>
  </r>
  <r>
    <n v="1051"/>
    <x v="26"/>
    <s v="Amit"/>
    <x v="1"/>
    <x v="5"/>
    <x v="2"/>
    <n v="7"/>
    <n v="800"/>
    <n v="15"/>
    <x v="170"/>
    <n v="743.66"/>
    <s v="Low Profit"/>
    <n v="2025"/>
    <x v="3"/>
    <s v="Average"/>
    <n v="840"/>
    <n v="0"/>
    <m/>
    <m/>
  </r>
  <r>
    <n v="1453"/>
    <x v="228"/>
    <s v="Kiran"/>
    <x v="2"/>
    <x v="5"/>
    <x v="2"/>
    <n v="7"/>
    <n v="800"/>
    <n v="15"/>
    <x v="170"/>
    <n v="1090.5"/>
    <s v="Low Profit"/>
    <n v="2025"/>
    <x v="2"/>
    <s v="Average"/>
    <n v="840"/>
    <n v="0"/>
    <m/>
    <m/>
  </r>
  <r>
    <n v="1199"/>
    <x v="221"/>
    <s v="Rahul"/>
    <x v="1"/>
    <x v="5"/>
    <x v="2"/>
    <n v="6"/>
    <n v="800"/>
    <n v="5"/>
    <x v="171"/>
    <n v="453.54"/>
    <s v="Low Profit"/>
    <n v="2025"/>
    <x v="4"/>
    <s v="Average"/>
    <n v="240"/>
    <n v="0"/>
    <m/>
    <m/>
  </r>
  <r>
    <n v="1283"/>
    <x v="286"/>
    <s v="Anjali"/>
    <x v="0"/>
    <x v="5"/>
    <x v="2"/>
    <n v="6"/>
    <n v="800"/>
    <n v="5"/>
    <x v="171"/>
    <n v="378.38"/>
    <s v="Low Profit"/>
    <n v="2025"/>
    <x v="2"/>
    <s v="Average"/>
    <n v="240"/>
    <n v="0"/>
    <m/>
    <m/>
  </r>
  <r>
    <n v="1358"/>
    <x v="287"/>
    <s v="Neha"/>
    <x v="3"/>
    <x v="5"/>
    <x v="2"/>
    <n v="6"/>
    <n v="800"/>
    <n v="5"/>
    <x v="171"/>
    <n v="961.51"/>
    <s v="Low Profit"/>
    <n v="2025"/>
    <x v="6"/>
    <s v="Average"/>
    <n v="240"/>
    <n v="0"/>
    <m/>
    <m/>
  </r>
  <r>
    <n v="1001"/>
    <x v="288"/>
    <s v="Amit"/>
    <x v="0"/>
    <x v="4"/>
    <x v="2"/>
    <n v="3"/>
    <n v="1500"/>
    <n v="0"/>
    <x v="172"/>
    <n v="580.59"/>
    <s v="Low Profit"/>
    <n v="2025"/>
    <x v="0"/>
    <s v="Average"/>
    <n v="0"/>
    <n v="0"/>
    <m/>
    <m/>
  </r>
  <r>
    <n v="1044"/>
    <x v="145"/>
    <s v="Neha"/>
    <x v="3"/>
    <x v="4"/>
    <x v="2"/>
    <n v="3"/>
    <n v="1500"/>
    <n v="0"/>
    <x v="172"/>
    <n v="826.28"/>
    <s v="Low Profit"/>
    <n v="2025"/>
    <x v="3"/>
    <s v="Average"/>
    <n v="0"/>
    <n v="0"/>
    <m/>
    <m/>
  </r>
  <r>
    <n v="1212"/>
    <x v="167"/>
    <s v="Kiran"/>
    <x v="3"/>
    <x v="4"/>
    <x v="2"/>
    <n v="3"/>
    <n v="1500"/>
    <n v="0"/>
    <x v="172"/>
    <n v="1094.19"/>
    <s v="Low Profit"/>
    <n v="2025"/>
    <x v="8"/>
    <s v="Average"/>
    <n v="0"/>
    <n v="0"/>
    <m/>
    <m/>
  </r>
  <r>
    <n v="1025"/>
    <x v="289"/>
    <s v="Mrunali"/>
    <x v="3"/>
    <x v="5"/>
    <x v="2"/>
    <n v="7"/>
    <n v="800"/>
    <n v="20"/>
    <x v="173"/>
    <n v="743.93"/>
    <s v="Low Profit"/>
    <n v="2025"/>
    <x v="1"/>
    <s v="Average"/>
    <n v="1120"/>
    <n v="0"/>
    <m/>
    <m/>
  </r>
  <r>
    <n v="1191"/>
    <x v="25"/>
    <s v="Neha"/>
    <x v="1"/>
    <x v="5"/>
    <x v="2"/>
    <n v="7"/>
    <n v="800"/>
    <n v="20"/>
    <x v="173"/>
    <n v="502.86"/>
    <s v="Low Profit"/>
    <n v="2026"/>
    <x v="2"/>
    <s v="Average"/>
    <n v="1120"/>
    <n v="0"/>
    <m/>
    <m/>
  </r>
  <r>
    <n v="1213"/>
    <x v="290"/>
    <s v="Priya"/>
    <x v="1"/>
    <x v="5"/>
    <x v="2"/>
    <n v="7"/>
    <n v="800"/>
    <n v="20"/>
    <x v="173"/>
    <n v="941.67"/>
    <s v="Low Profit"/>
    <n v="2025"/>
    <x v="6"/>
    <s v="Average"/>
    <n v="1120"/>
    <n v="0"/>
    <m/>
    <m/>
  </r>
  <r>
    <n v="1240"/>
    <x v="39"/>
    <s v="Rahul"/>
    <x v="0"/>
    <x v="5"/>
    <x v="2"/>
    <n v="6"/>
    <n v="800"/>
    <n v="10"/>
    <x v="174"/>
    <n v="673.58"/>
    <s v="Low Profit"/>
    <n v="2025"/>
    <x v="8"/>
    <s v="Average"/>
    <n v="480"/>
    <n v="0"/>
    <m/>
    <m/>
  </r>
  <r>
    <n v="1364"/>
    <x v="71"/>
    <s v="Amit"/>
    <x v="1"/>
    <x v="5"/>
    <x v="2"/>
    <n v="6"/>
    <n v="800"/>
    <n v="10"/>
    <x v="174"/>
    <n v="496.57"/>
    <s v="Low Profit"/>
    <n v="2025"/>
    <x v="9"/>
    <s v="Average"/>
    <n v="480"/>
    <n v="0"/>
    <m/>
    <m/>
  </r>
  <r>
    <n v="1195"/>
    <x v="154"/>
    <s v="Neha"/>
    <x v="1"/>
    <x v="4"/>
    <x v="2"/>
    <n v="3"/>
    <n v="1500"/>
    <n v="5"/>
    <x v="175"/>
    <n v="765.86"/>
    <s v="Low Profit"/>
    <n v="2025"/>
    <x v="6"/>
    <s v="Average"/>
    <n v="225"/>
    <n v="0"/>
    <m/>
    <m/>
  </r>
  <r>
    <n v="1332"/>
    <x v="101"/>
    <s v="Rahul"/>
    <x v="1"/>
    <x v="4"/>
    <x v="2"/>
    <n v="3"/>
    <n v="1500"/>
    <n v="5"/>
    <x v="175"/>
    <n v="918.62"/>
    <s v="Low Profit"/>
    <n v="2025"/>
    <x v="3"/>
    <s v="Average"/>
    <n v="225"/>
    <n v="0"/>
    <m/>
    <m/>
  </r>
  <r>
    <n v="1388"/>
    <x v="291"/>
    <s v="Anjali"/>
    <x v="3"/>
    <x v="4"/>
    <x v="2"/>
    <n v="3"/>
    <n v="1500"/>
    <n v="10"/>
    <x v="176"/>
    <n v="693.85"/>
    <s v="Low Profit"/>
    <n v="2025"/>
    <x v="9"/>
    <s v="Average"/>
    <n v="450"/>
    <n v="0"/>
    <m/>
    <m/>
  </r>
  <r>
    <n v="1327"/>
    <x v="173"/>
    <s v="Priya"/>
    <x v="1"/>
    <x v="5"/>
    <x v="2"/>
    <n v="5"/>
    <n v="800"/>
    <n v="0"/>
    <x v="177"/>
    <n v="922.38"/>
    <s v="Low Profit"/>
    <n v="2026"/>
    <x v="3"/>
    <s v="Average"/>
    <n v="0"/>
    <n v="0"/>
    <m/>
    <m/>
  </r>
  <r>
    <n v="1177"/>
    <x v="292"/>
    <s v="Kiran"/>
    <x v="2"/>
    <x v="5"/>
    <x v="2"/>
    <n v="6"/>
    <n v="800"/>
    <n v="20"/>
    <x v="178"/>
    <n v="378.03"/>
    <s v="Low Profit"/>
    <n v="2025"/>
    <x v="11"/>
    <s v="Average"/>
    <n v="960"/>
    <n v="0"/>
    <m/>
    <m/>
  </r>
  <r>
    <n v="1124"/>
    <x v="141"/>
    <s v="Amit"/>
    <x v="2"/>
    <x v="4"/>
    <x v="2"/>
    <n v="3"/>
    <n v="1500"/>
    <n v="15"/>
    <x v="179"/>
    <n v="329.78"/>
    <s v="Low Profit"/>
    <n v="2025"/>
    <x v="7"/>
    <s v="Average"/>
    <n v="675"/>
    <n v="0"/>
    <m/>
    <m/>
  </r>
  <r>
    <n v="1343"/>
    <x v="293"/>
    <s v="Sneha"/>
    <x v="2"/>
    <x v="5"/>
    <x v="2"/>
    <n v="5"/>
    <n v="800"/>
    <n v="5"/>
    <x v="180"/>
    <n v="637.19000000000005"/>
    <s v="Low Profit"/>
    <n v="2026"/>
    <x v="5"/>
    <s v="Average"/>
    <n v="200"/>
    <n v="0"/>
    <m/>
    <m/>
  </r>
  <r>
    <n v="1088"/>
    <x v="294"/>
    <s v="Rahul"/>
    <x v="3"/>
    <x v="5"/>
    <x v="2"/>
    <n v="5"/>
    <n v="800"/>
    <n v="10"/>
    <x v="181"/>
    <n v="664.16"/>
    <s v="Low Profit"/>
    <n v="2025"/>
    <x v="2"/>
    <s v="Average"/>
    <n v="400"/>
    <n v="0"/>
    <m/>
    <m/>
  </r>
  <r>
    <n v="1337"/>
    <x v="231"/>
    <s v="Priya"/>
    <x v="0"/>
    <x v="5"/>
    <x v="2"/>
    <n v="5"/>
    <n v="800"/>
    <n v="10"/>
    <x v="181"/>
    <n v="319.91000000000003"/>
    <s v="Low Profit"/>
    <n v="2025"/>
    <x v="6"/>
    <s v="Average"/>
    <n v="400"/>
    <n v="0"/>
    <m/>
    <m/>
  </r>
  <r>
    <n v="1411"/>
    <x v="167"/>
    <s v="Rahul"/>
    <x v="1"/>
    <x v="4"/>
    <x v="2"/>
    <n v="3"/>
    <n v="1500"/>
    <n v="20"/>
    <x v="181"/>
    <n v="895.19"/>
    <s v="Low Profit"/>
    <n v="2025"/>
    <x v="8"/>
    <s v="Average"/>
    <n v="900"/>
    <n v="0"/>
    <m/>
    <m/>
  </r>
  <r>
    <n v="1187"/>
    <x v="11"/>
    <s v="Anjali"/>
    <x v="1"/>
    <x v="5"/>
    <x v="2"/>
    <n v="5"/>
    <n v="800"/>
    <n v="15"/>
    <x v="182"/>
    <n v="374.11"/>
    <s v="Low Profit"/>
    <n v="2025"/>
    <x v="7"/>
    <s v="Average"/>
    <n v="600"/>
    <n v="0"/>
    <m/>
    <m/>
  </r>
  <r>
    <n v="1326"/>
    <x v="134"/>
    <s v="Vikas"/>
    <x v="0"/>
    <x v="5"/>
    <x v="2"/>
    <n v="5"/>
    <n v="800"/>
    <n v="15"/>
    <x v="182"/>
    <n v="361.36"/>
    <s v="Low Profit"/>
    <n v="2025"/>
    <x v="3"/>
    <s v="Average"/>
    <n v="600"/>
    <n v="0"/>
    <m/>
    <m/>
  </r>
  <r>
    <n v="1385"/>
    <x v="165"/>
    <s v="Rohan"/>
    <x v="1"/>
    <x v="5"/>
    <x v="2"/>
    <n v="5"/>
    <n v="800"/>
    <n v="15"/>
    <x v="182"/>
    <n v="780.97"/>
    <s v="Low Profit"/>
    <n v="2025"/>
    <x v="5"/>
    <s v="Average"/>
    <n v="600"/>
    <n v="0"/>
    <m/>
    <m/>
  </r>
  <r>
    <n v="1403"/>
    <x v="295"/>
    <s v="Rahul"/>
    <x v="3"/>
    <x v="5"/>
    <x v="2"/>
    <n v="4"/>
    <n v="800"/>
    <n v="0"/>
    <x v="183"/>
    <n v="340.53"/>
    <s v="Low Profit"/>
    <n v="2025"/>
    <x v="1"/>
    <s v="Average"/>
    <n v="0"/>
    <n v="0"/>
    <m/>
    <m/>
  </r>
  <r>
    <n v="1455"/>
    <x v="229"/>
    <s v="Rahul"/>
    <x v="2"/>
    <x v="5"/>
    <x v="2"/>
    <n v="5"/>
    <n v="800"/>
    <n v="20"/>
    <x v="183"/>
    <n v="690.89"/>
    <s v="Low Profit"/>
    <n v="2025"/>
    <x v="11"/>
    <s v="Average"/>
    <n v="800"/>
    <n v="0"/>
    <m/>
    <m/>
  </r>
  <r>
    <n v="1205"/>
    <x v="296"/>
    <s v="Rohan"/>
    <x v="1"/>
    <x v="5"/>
    <x v="2"/>
    <n v="4"/>
    <n v="800"/>
    <n v="5"/>
    <x v="184"/>
    <n v="357.93"/>
    <s v="Low Profit"/>
    <n v="2025"/>
    <x v="1"/>
    <s v="Average"/>
    <n v="160"/>
    <n v="0"/>
    <m/>
    <m/>
  </r>
  <r>
    <n v="1329"/>
    <x v="132"/>
    <s v="Rahul"/>
    <x v="3"/>
    <x v="5"/>
    <x v="2"/>
    <n v="4"/>
    <n v="800"/>
    <n v="5"/>
    <x v="184"/>
    <n v="596.26"/>
    <s v="Low Profit"/>
    <n v="2025"/>
    <x v="11"/>
    <s v="Average"/>
    <n v="160"/>
    <n v="0"/>
    <m/>
    <m/>
  </r>
  <r>
    <n v="1390"/>
    <x v="185"/>
    <s v="Priya"/>
    <x v="3"/>
    <x v="4"/>
    <x v="2"/>
    <n v="2"/>
    <n v="1500"/>
    <n v="0"/>
    <x v="185"/>
    <n v="522.39"/>
    <s v="Low Profit"/>
    <n v="2026"/>
    <x v="5"/>
    <s v="Average"/>
    <n v="0"/>
    <n v="0"/>
    <m/>
    <m/>
  </r>
  <r>
    <n v="1435"/>
    <x v="174"/>
    <s v="Priya"/>
    <x v="2"/>
    <x v="4"/>
    <x v="2"/>
    <n v="2"/>
    <n v="1500"/>
    <n v="0"/>
    <x v="185"/>
    <n v="608.44000000000005"/>
    <s v="Low Profit"/>
    <n v="2025"/>
    <x v="5"/>
    <s v="Average"/>
    <n v="0"/>
    <n v="0"/>
    <m/>
    <m/>
  </r>
  <r>
    <n v="1444"/>
    <x v="225"/>
    <s v="Kiran"/>
    <x v="0"/>
    <x v="4"/>
    <x v="2"/>
    <n v="2"/>
    <n v="1500"/>
    <n v="0"/>
    <x v="185"/>
    <n v="548.48"/>
    <s v="Low Profit"/>
    <n v="2025"/>
    <x v="2"/>
    <s v="Average"/>
    <n v="0"/>
    <n v="0"/>
    <m/>
    <m/>
  </r>
  <r>
    <n v="1103"/>
    <x v="297"/>
    <s v="Neha"/>
    <x v="1"/>
    <x v="4"/>
    <x v="2"/>
    <n v="2"/>
    <n v="1500"/>
    <n v="5"/>
    <x v="186"/>
    <n v="658.83"/>
    <s v="Low Profit"/>
    <n v="2025"/>
    <x v="6"/>
    <s v="Average"/>
    <n v="150"/>
    <n v="0"/>
    <m/>
    <m/>
  </r>
  <r>
    <n v="1462"/>
    <x v="297"/>
    <s v="Kiran"/>
    <x v="3"/>
    <x v="4"/>
    <x v="2"/>
    <n v="2"/>
    <n v="1500"/>
    <n v="5"/>
    <x v="186"/>
    <n v="332.81"/>
    <s v="Low Profit"/>
    <n v="2025"/>
    <x v="6"/>
    <s v="Average"/>
    <n v="150"/>
    <n v="0"/>
    <m/>
    <m/>
  </r>
  <r>
    <n v="1023"/>
    <x v="19"/>
    <s v="Rohan"/>
    <x v="0"/>
    <x v="5"/>
    <x v="2"/>
    <n v="4"/>
    <n v="800"/>
    <n v="15"/>
    <x v="187"/>
    <n v="399.5"/>
    <s v="Low Profit"/>
    <n v="2025"/>
    <x v="1"/>
    <s v="Average"/>
    <n v="480"/>
    <n v="0"/>
    <m/>
    <m/>
  </r>
  <r>
    <n v="1113"/>
    <x v="105"/>
    <s v="Anjali"/>
    <x v="1"/>
    <x v="4"/>
    <x v="2"/>
    <n v="2"/>
    <n v="1500"/>
    <n v="10"/>
    <x v="188"/>
    <n v="607.59"/>
    <s v="Low Profit"/>
    <n v="2026"/>
    <x v="6"/>
    <s v="Average"/>
    <n v="300"/>
    <n v="0"/>
    <m/>
    <m/>
  </r>
  <r>
    <n v="1396"/>
    <x v="247"/>
    <s v="Rahul"/>
    <x v="2"/>
    <x v="4"/>
    <x v="2"/>
    <n v="2"/>
    <n v="1500"/>
    <n v="10"/>
    <x v="188"/>
    <n v="309.11"/>
    <s v="Low Profit"/>
    <n v="2025"/>
    <x v="6"/>
    <s v="Average"/>
    <n v="300"/>
    <n v="0"/>
    <m/>
    <m/>
  </r>
  <r>
    <n v="1362"/>
    <x v="240"/>
    <s v="Neha"/>
    <x v="3"/>
    <x v="5"/>
    <x v="2"/>
    <n v="4"/>
    <n v="800"/>
    <n v="20"/>
    <x v="189"/>
    <n v="575.73"/>
    <s v="Low Profit"/>
    <n v="2026"/>
    <x v="1"/>
    <s v="Average"/>
    <n v="640"/>
    <n v="0"/>
    <m/>
    <m/>
  </r>
  <r>
    <n v="1125"/>
    <x v="230"/>
    <s v="Amit"/>
    <x v="2"/>
    <x v="4"/>
    <x v="2"/>
    <n v="2"/>
    <n v="1500"/>
    <n v="15"/>
    <x v="190"/>
    <n v="311.67"/>
    <s v="Low Profit"/>
    <n v="2025"/>
    <x v="5"/>
    <s v="Average"/>
    <n v="450"/>
    <n v="0"/>
    <m/>
    <m/>
  </r>
  <r>
    <n v="1184"/>
    <x v="297"/>
    <s v="Neha"/>
    <x v="2"/>
    <x v="4"/>
    <x v="2"/>
    <n v="2"/>
    <n v="1500"/>
    <n v="15"/>
    <x v="190"/>
    <n v="546.95000000000005"/>
    <s v="Low Profit"/>
    <n v="2025"/>
    <x v="6"/>
    <s v="Average"/>
    <n v="450"/>
    <n v="0"/>
    <m/>
    <m/>
  </r>
  <r>
    <n v="1219"/>
    <x v="222"/>
    <s v="Vikas"/>
    <x v="2"/>
    <x v="4"/>
    <x v="2"/>
    <n v="2"/>
    <n v="1500"/>
    <n v="15"/>
    <x v="190"/>
    <n v="331.24"/>
    <s v="Low Profit"/>
    <n v="2025"/>
    <x v="6"/>
    <s v="Average"/>
    <n v="450"/>
    <n v="0"/>
    <m/>
    <m/>
  </r>
  <r>
    <n v="1230"/>
    <x v="289"/>
    <s v="Sneha"/>
    <x v="1"/>
    <x v="4"/>
    <x v="2"/>
    <n v="2"/>
    <n v="1500"/>
    <n v="15"/>
    <x v="190"/>
    <n v="284.77"/>
    <s v="Low Profit"/>
    <n v="2025"/>
    <x v="1"/>
    <s v="Average"/>
    <n v="450"/>
    <n v="0"/>
    <m/>
    <m/>
  </r>
  <r>
    <n v="1468"/>
    <x v="298"/>
    <s v="Anjali"/>
    <x v="3"/>
    <x v="4"/>
    <x v="2"/>
    <n v="2"/>
    <n v="1500"/>
    <n v="15"/>
    <x v="190"/>
    <n v="270.81"/>
    <s v="Low Profit"/>
    <n v="2025"/>
    <x v="9"/>
    <s v="Average"/>
    <n v="450"/>
    <n v="0"/>
    <m/>
    <m/>
  </r>
  <r>
    <n v="1027"/>
    <x v="198"/>
    <s v="Amit"/>
    <x v="1"/>
    <x v="5"/>
    <x v="2"/>
    <n v="3"/>
    <n v="800"/>
    <n v="0"/>
    <x v="191"/>
    <n v="385.47"/>
    <s v="Low Profit"/>
    <n v="2026"/>
    <x v="3"/>
    <s v="Average"/>
    <n v="0"/>
    <n v="0"/>
    <m/>
    <m/>
  </r>
  <r>
    <n v="1069"/>
    <x v="10"/>
    <s v="Priya"/>
    <x v="1"/>
    <x v="5"/>
    <x v="2"/>
    <n v="3"/>
    <n v="800"/>
    <n v="0"/>
    <x v="191"/>
    <n v="221.44"/>
    <s v="Low Profit"/>
    <n v="2026"/>
    <x v="6"/>
    <s v="Average"/>
    <n v="0"/>
    <n v="0"/>
    <m/>
    <m/>
  </r>
  <r>
    <n v="1091"/>
    <x v="299"/>
    <s v="Rahul"/>
    <x v="1"/>
    <x v="4"/>
    <x v="2"/>
    <n v="2"/>
    <n v="1500"/>
    <n v="20"/>
    <x v="191"/>
    <n v="555.57000000000005"/>
    <s v="Low Profit"/>
    <n v="2025"/>
    <x v="2"/>
    <s v="Average"/>
    <n v="600"/>
    <n v="0"/>
    <m/>
    <m/>
  </r>
  <r>
    <n v="1483"/>
    <x v="300"/>
    <s v="Priya"/>
    <x v="0"/>
    <x v="5"/>
    <x v="2"/>
    <n v="3"/>
    <n v="800"/>
    <n v="0"/>
    <x v="191"/>
    <n v="463.18"/>
    <s v="Low Profit"/>
    <n v="2026"/>
    <x v="7"/>
    <s v="Average"/>
    <n v="0"/>
    <n v="0"/>
    <m/>
    <m/>
  </r>
  <r>
    <n v="1058"/>
    <x v="66"/>
    <s v="Rahul"/>
    <x v="1"/>
    <x v="5"/>
    <x v="2"/>
    <n v="3"/>
    <n v="800"/>
    <n v="10"/>
    <x v="192"/>
    <n v="377.47"/>
    <s v="Low Profit"/>
    <n v="2025"/>
    <x v="5"/>
    <s v="Average"/>
    <n v="240"/>
    <n v="0"/>
    <m/>
    <m/>
  </r>
  <r>
    <n v="1292"/>
    <x v="301"/>
    <s v="Neha"/>
    <x v="3"/>
    <x v="5"/>
    <x v="2"/>
    <n v="3"/>
    <n v="800"/>
    <n v="10"/>
    <x v="192"/>
    <n v="181.75"/>
    <s v="Low Profit"/>
    <n v="2026"/>
    <x v="3"/>
    <s v="Average"/>
    <n v="240"/>
    <n v="0"/>
    <m/>
    <m/>
  </r>
  <r>
    <n v="1370"/>
    <x v="33"/>
    <s v="Mrunali"/>
    <x v="2"/>
    <x v="5"/>
    <x v="2"/>
    <n v="3"/>
    <n v="800"/>
    <n v="10"/>
    <x v="192"/>
    <n v="519.62"/>
    <s v="Low Profit"/>
    <n v="2026"/>
    <x v="2"/>
    <s v="Average"/>
    <n v="240"/>
    <n v="0"/>
    <m/>
    <m/>
  </r>
  <r>
    <n v="1383"/>
    <x v="150"/>
    <s v="Mrunali"/>
    <x v="0"/>
    <x v="5"/>
    <x v="2"/>
    <n v="3"/>
    <n v="800"/>
    <n v="15"/>
    <x v="193"/>
    <n v="172.62"/>
    <s v="Low Profit"/>
    <n v="2025"/>
    <x v="1"/>
    <s v="Average"/>
    <n v="360"/>
    <n v="0"/>
    <m/>
    <m/>
  </r>
  <r>
    <n v="1404"/>
    <x v="302"/>
    <s v="Priya"/>
    <x v="3"/>
    <x v="5"/>
    <x v="2"/>
    <n v="3"/>
    <n v="800"/>
    <n v="20"/>
    <x v="194"/>
    <n v="179.79"/>
    <s v="Low Profit"/>
    <n v="2025"/>
    <x v="10"/>
    <s v="Average"/>
    <n v="480"/>
    <n v="0"/>
    <m/>
    <m/>
  </r>
  <r>
    <n v="1441"/>
    <x v="303"/>
    <s v="Rohan"/>
    <x v="0"/>
    <x v="5"/>
    <x v="2"/>
    <n v="3"/>
    <n v="800"/>
    <n v="20"/>
    <x v="194"/>
    <n v="279.3"/>
    <s v="Low Profit"/>
    <n v="2025"/>
    <x v="7"/>
    <s v="Average"/>
    <n v="480"/>
    <n v="0"/>
    <m/>
    <m/>
  </r>
  <r>
    <n v="1248"/>
    <x v="304"/>
    <s v="Priya"/>
    <x v="1"/>
    <x v="5"/>
    <x v="2"/>
    <n v="2"/>
    <n v="800"/>
    <n v="0"/>
    <x v="195"/>
    <n v="306.25"/>
    <s v="Low Profit"/>
    <n v="2026"/>
    <x v="7"/>
    <s v="Average"/>
    <n v="0"/>
    <n v="0"/>
    <m/>
    <m/>
  </r>
  <r>
    <n v="1427"/>
    <x v="39"/>
    <s v="Amit"/>
    <x v="0"/>
    <x v="5"/>
    <x v="2"/>
    <n v="2"/>
    <n v="800"/>
    <n v="0"/>
    <x v="195"/>
    <n v="310.93"/>
    <s v="Low Profit"/>
    <n v="2025"/>
    <x v="8"/>
    <s v="Average"/>
    <n v="0"/>
    <n v="0"/>
    <m/>
    <m/>
  </r>
  <r>
    <n v="1061"/>
    <x v="41"/>
    <s v="Mrunali"/>
    <x v="2"/>
    <x v="5"/>
    <x v="2"/>
    <n v="2"/>
    <n v="800"/>
    <n v="5"/>
    <x v="196"/>
    <n v="340.75"/>
    <s v="Low Profit"/>
    <n v="2026"/>
    <x v="7"/>
    <s v="Average"/>
    <n v="80"/>
    <n v="0"/>
    <m/>
    <m/>
  </r>
  <r>
    <n v="1180"/>
    <x v="305"/>
    <s v="Rohan"/>
    <x v="2"/>
    <x v="5"/>
    <x v="2"/>
    <n v="2"/>
    <n v="800"/>
    <n v="5"/>
    <x v="196"/>
    <n v="250.37"/>
    <s v="Low Profit"/>
    <n v="2025"/>
    <x v="7"/>
    <s v="Average"/>
    <n v="80"/>
    <n v="0"/>
    <m/>
    <m/>
  </r>
  <r>
    <n v="1242"/>
    <x v="168"/>
    <s v="Neha"/>
    <x v="1"/>
    <x v="5"/>
    <x v="2"/>
    <n v="2"/>
    <n v="800"/>
    <n v="5"/>
    <x v="196"/>
    <n v="370.28"/>
    <s v="Low Profit"/>
    <n v="2026"/>
    <x v="1"/>
    <s v="Average"/>
    <n v="80"/>
    <n v="0"/>
    <m/>
    <m/>
  </r>
  <r>
    <n v="1384"/>
    <x v="160"/>
    <s v="Rohan"/>
    <x v="2"/>
    <x v="5"/>
    <x v="2"/>
    <n v="2"/>
    <n v="800"/>
    <n v="5"/>
    <x v="196"/>
    <n v="138.91999999999999"/>
    <s v="Low Profit"/>
    <n v="2025"/>
    <x v="5"/>
    <s v="Average"/>
    <n v="80"/>
    <n v="0"/>
    <m/>
    <m/>
  </r>
  <r>
    <n v="1028"/>
    <x v="0"/>
    <s v="Kiran"/>
    <x v="0"/>
    <x v="4"/>
    <x v="2"/>
    <n v="1"/>
    <n v="1500"/>
    <n v="0"/>
    <x v="197"/>
    <n v="362.43"/>
    <s v="Low Profit"/>
    <n v="2025"/>
    <x v="0"/>
    <s v="Average"/>
    <n v="0"/>
    <n v="0"/>
    <m/>
    <m/>
  </r>
  <r>
    <n v="1120"/>
    <x v="306"/>
    <s v="Neha"/>
    <x v="1"/>
    <x v="4"/>
    <x v="2"/>
    <n v="1"/>
    <n v="1500"/>
    <n v="0"/>
    <x v="197"/>
    <n v="340.16"/>
    <s v="Low Profit"/>
    <n v="2025"/>
    <x v="8"/>
    <s v="Average"/>
    <n v="0"/>
    <n v="0"/>
    <m/>
    <m/>
  </r>
  <r>
    <n v="1290"/>
    <x v="307"/>
    <s v="Amit"/>
    <x v="3"/>
    <x v="4"/>
    <x v="2"/>
    <n v="1"/>
    <n v="1500"/>
    <n v="0"/>
    <x v="197"/>
    <n v="300.04000000000002"/>
    <s v="Low Profit"/>
    <n v="2025"/>
    <x v="4"/>
    <s v="Average"/>
    <n v="0"/>
    <n v="0"/>
    <m/>
    <m/>
  </r>
  <r>
    <n v="1004"/>
    <x v="198"/>
    <s v="Anjali"/>
    <x v="1"/>
    <x v="5"/>
    <x v="2"/>
    <n v="2"/>
    <n v="800"/>
    <n v="10"/>
    <x v="198"/>
    <n v="242.64"/>
    <s v="Low Profit"/>
    <n v="2026"/>
    <x v="3"/>
    <s v="Average"/>
    <n v="160"/>
    <n v="0"/>
    <m/>
    <m/>
  </r>
  <r>
    <n v="1076"/>
    <x v="170"/>
    <s v="Sneha"/>
    <x v="0"/>
    <x v="5"/>
    <x v="2"/>
    <n v="2"/>
    <n v="800"/>
    <n v="10"/>
    <x v="198"/>
    <n v="137.02000000000001"/>
    <s v="Low Profit"/>
    <n v="2025"/>
    <x v="7"/>
    <s v="Average"/>
    <n v="160"/>
    <n v="0"/>
    <m/>
    <m/>
  </r>
  <r>
    <n v="1204"/>
    <x v="265"/>
    <s v="Priya"/>
    <x v="3"/>
    <x v="4"/>
    <x v="2"/>
    <n v="1"/>
    <n v="1500"/>
    <n v="5"/>
    <x v="199"/>
    <n v="188.92"/>
    <s v="Low Profit"/>
    <n v="2026"/>
    <x v="1"/>
    <s v="Average"/>
    <n v="75"/>
    <n v="0"/>
    <m/>
    <m/>
  </r>
  <r>
    <n v="1386"/>
    <x v="136"/>
    <s v="Rahul"/>
    <x v="1"/>
    <x v="4"/>
    <x v="2"/>
    <n v="1"/>
    <n v="1500"/>
    <n v="5"/>
    <x v="199"/>
    <n v="129.94"/>
    <s v="Low Profit"/>
    <n v="2025"/>
    <x v="2"/>
    <s v="Average"/>
    <n v="75"/>
    <n v="0"/>
    <m/>
    <m/>
  </r>
  <r>
    <n v="1151"/>
    <x v="202"/>
    <s v="Rohan"/>
    <x v="0"/>
    <x v="5"/>
    <x v="2"/>
    <n v="2"/>
    <n v="800"/>
    <n v="15"/>
    <x v="200"/>
    <n v="189.32"/>
    <s v="Low Profit"/>
    <n v="2026"/>
    <x v="1"/>
    <s v="Average"/>
    <n v="240"/>
    <n v="0"/>
    <m/>
    <m/>
  </r>
  <r>
    <n v="1182"/>
    <x v="308"/>
    <s v="Neha"/>
    <x v="2"/>
    <x v="5"/>
    <x v="2"/>
    <n v="2"/>
    <n v="800"/>
    <n v="15"/>
    <x v="200"/>
    <n v="160.34"/>
    <s v="Low Profit"/>
    <n v="2026"/>
    <x v="1"/>
    <s v="Average"/>
    <n v="240"/>
    <n v="0"/>
    <m/>
    <m/>
  </r>
  <r>
    <n v="1134"/>
    <x v="173"/>
    <s v="Rohan"/>
    <x v="0"/>
    <x v="4"/>
    <x v="2"/>
    <n v="1"/>
    <n v="1500"/>
    <n v="10"/>
    <x v="201"/>
    <n v="116.77"/>
    <s v="Low Profit"/>
    <n v="2026"/>
    <x v="3"/>
    <s v="Average"/>
    <n v="150"/>
    <n v="0"/>
    <m/>
    <m/>
  </r>
  <r>
    <n v="1443"/>
    <x v="309"/>
    <s v="Rahul"/>
    <x v="3"/>
    <x v="5"/>
    <x v="2"/>
    <n v="2"/>
    <n v="800"/>
    <n v="20"/>
    <x v="202"/>
    <n v="309.75"/>
    <s v="Low Profit"/>
    <n v="2025"/>
    <x v="2"/>
    <s v="Average"/>
    <n v="320"/>
    <n v="0"/>
    <m/>
    <m/>
  </r>
  <r>
    <n v="1011"/>
    <x v="310"/>
    <s v="Neha"/>
    <x v="1"/>
    <x v="4"/>
    <x v="2"/>
    <n v="1"/>
    <n v="1500"/>
    <n v="15"/>
    <x v="203"/>
    <n v="307.95"/>
    <s v="Low Profit"/>
    <n v="2026"/>
    <x v="3"/>
    <s v="Average"/>
    <n v="225"/>
    <n v="0"/>
    <m/>
    <m/>
  </r>
  <r>
    <n v="1259"/>
    <x v="311"/>
    <s v="Rohan"/>
    <x v="1"/>
    <x v="4"/>
    <x v="2"/>
    <n v="1"/>
    <n v="1500"/>
    <n v="20"/>
    <x v="204"/>
    <n v="209.24"/>
    <s v="Low Profit"/>
    <n v="2026"/>
    <x v="3"/>
    <s v="Average"/>
    <n v="300"/>
    <n v="0"/>
    <m/>
    <m/>
  </r>
  <r>
    <n v="1314"/>
    <x v="3"/>
    <s v="Kiran"/>
    <x v="2"/>
    <x v="4"/>
    <x v="2"/>
    <n v="1"/>
    <n v="1500"/>
    <n v="20"/>
    <x v="204"/>
    <n v="203.55"/>
    <s v="Low Profit"/>
    <n v="2026"/>
    <x v="3"/>
    <s v="Average"/>
    <n v="300"/>
    <n v="0"/>
    <m/>
    <m/>
  </r>
  <r>
    <n v="1064"/>
    <x v="212"/>
    <s v="Vikas"/>
    <x v="0"/>
    <x v="5"/>
    <x v="2"/>
    <n v="1"/>
    <n v="800"/>
    <n v="0"/>
    <x v="205"/>
    <n v="188.79"/>
    <s v="Low Profit"/>
    <n v="2026"/>
    <x v="3"/>
    <s v="Average"/>
    <n v="0"/>
    <n v="0"/>
    <m/>
    <m/>
  </r>
  <r>
    <n v="1245"/>
    <x v="139"/>
    <s v="Anjali"/>
    <x v="2"/>
    <x v="5"/>
    <x v="2"/>
    <n v="1"/>
    <n v="800"/>
    <n v="0"/>
    <x v="205"/>
    <n v="187.98"/>
    <s v="Low Profit"/>
    <n v="2026"/>
    <x v="5"/>
    <s v="Average"/>
    <n v="0"/>
    <n v="0"/>
    <m/>
    <m/>
  </r>
  <r>
    <n v="1038"/>
    <x v="269"/>
    <s v="Sneha"/>
    <x v="1"/>
    <x v="5"/>
    <x v="2"/>
    <n v="1"/>
    <n v="800"/>
    <n v="5"/>
    <x v="206"/>
    <n v="77.17"/>
    <s v="Low Profit"/>
    <n v="2025"/>
    <x v="4"/>
    <s v="Average"/>
    <n v="40"/>
    <n v="0"/>
    <m/>
    <m/>
  </r>
  <r>
    <n v="1039"/>
    <x v="155"/>
    <s v="Sneha"/>
    <x v="0"/>
    <x v="5"/>
    <x v="2"/>
    <n v="1"/>
    <n v="800"/>
    <n v="10"/>
    <x v="207"/>
    <n v="86.8"/>
    <s v="Low Profit"/>
    <n v="2025"/>
    <x v="5"/>
    <s v="Average"/>
    <n v="80"/>
    <n v="0"/>
    <m/>
    <m/>
  </r>
  <r>
    <n v="1457"/>
    <x v="312"/>
    <s v="Vikas"/>
    <x v="3"/>
    <x v="5"/>
    <x v="2"/>
    <n v="1"/>
    <n v="800"/>
    <n v="15"/>
    <x v="208"/>
    <n v="105.61"/>
    <s v="Low Profit"/>
    <n v="2025"/>
    <x v="2"/>
    <s v="Average"/>
    <n v="120"/>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B5" firstHeaderRow="1" firstDataRow="1" firstDataCol="1"/>
  <pivotFields count="19">
    <pivotField showAll="0"/>
    <pivotField showAll="0"/>
    <pivotField showAll="0"/>
    <pivotField axis="axisRow" showAll="0">
      <items count="5">
        <item x="3"/>
        <item h="1" x="0"/>
        <item h="1" x="2"/>
        <item h="1" x="1"/>
        <item t="default"/>
      </items>
    </pivotField>
    <pivotField showAll="0">
      <items count="7">
        <item x="3"/>
        <item x="4"/>
        <item x="0"/>
        <item x="1"/>
        <item x="5"/>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2">
    <i>
      <x/>
    </i>
    <i t="grand">
      <x/>
    </i>
  </rowItems>
  <colItems count="1">
    <i/>
  </colItems>
  <dataFields count="1">
    <dataField name="Sum of Sales" fld="9"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10" firstHeaderRow="1" firstDataRow="1" firstDataCol="1"/>
  <pivotFields count="19">
    <pivotField showAll="0"/>
    <pivotField showAll="0"/>
    <pivotField showAll="0"/>
    <pivotField showAll="0">
      <items count="5">
        <item x="3"/>
        <item h="1" x="0"/>
        <item h="1" x="2"/>
        <item h="1" x="1"/>
        <item t="default"/>
      </items>
    </pivotField>
    <pivotField axis="axisRow" showAll="0">
      <items count="7">
        <item x="3"/>
        <item x="4"/>
        <item x="0"/>
        <item x="1"/>
        <item x="5"/>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Profi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3:B16" firstHeaderRow="1" firstDataRow="1" firstDataCol="1"/>
  <pivotFields count="19">
    <pivotField showAll="0"/>
    <pivotField showAll="0">
      <items count="314">
        <item x="124"/>
        <item x="160"/>
        <item x="223"/>
        <item x="165"/>
        <item x="207"/>
        <item x="102"/>
        <item x="53"/>
        <item x="230"/>
        <item x="66"/>
        <item x="182"/>
        <item x="278"/>
        <item x="174"/>
        <item x="5"/>
        <item x="155"/>
        <item x="50"/>
        <item x="309"/>
        <item x="299"/>
        <item x="24"/>
        <item x="9"/>
        <item x="286"/>
        <item x="254"/>
        <item x="120"/>
        <item x="238"/>
        <item x="144"/>
        <item x="133"/>
        <item x="228"/>
        <item x="294"/>
        <item x="2"/>
        <item x="94"/>
        <item x="151"/>
        <item x="312"/>
        <item x="136"/>
        <item x="248"/>
        <item x="225"/>
        <item x="271"/>
        <item x="215"/>
        <item x="7"/>
        <item x="290"/>
        <item x="273"/>
        <item x="109"/>
        <item x="213"/>
        <item x="177"/>
        <item x="63"/>
        <item x="147"/>
        <item x="130"/>
        <item x="90"/>
        <item x="6"/>
        <item x="153"/>
        <item x="222"/>
        <item x="231"/>
        <item x="209"/>
        <item x="247"/>
        <item x="154"/>
        <item x="287"/>
        <item x="297"/>
        <item x="85"/>
        <item x="140"/>
        <item x="118"/>
        <item x="52"/>
        <item x="282"/>
        <item x="121"/>
        <item x="28"/>
        <item x="295"/>
        <item x="241"/>
        <item x="296"/>
        <item x="289"/>
        <item x="137"/>
        <item x="89"/>
        <item x="214"/>
        <item x="19"/>
        <item x="224"/>
        <item x="243"/>
        <item x="150"/>
        <item x="75"/>
        <item x="245"/>
        <item x="303"/>
        <item x="122"/>
        <item x="46"/>
        <item x="110"/>
        <item x="11"/>
        <item x="156"/>
        <item x="92"/>
        <item x="305"/>
        <item x="99"/>
        <item x="29"/>
        <item x="170"/>
        <item x="164"/>
        <item x="65"/>
        <item x="67"/>
        <item x="35"/>
        <item x="272"/>
        <item x="141"/>
        <item x="84"/>
        <item x="163"/>
        <item x="146"/>
        <item x="74"/>
        <item x="172"/>
        <item x="145"/>
        <item x="162"/>
        <item x="195"/>
        <item x="112"/>
        <item x="257"/>
        <item x="134"/>
        <item x="235"/>
        <item x="175"/>
        <item x="26"/>
        <item x="12"/>
        <item x="101"/>
        <item x="69"/>
        <item x="17"/>
        <item x="64"/>
        <item x="249"/>
        <item x="39"/>
        <item x="252"/>
        <item x="306"/>
        <item x="16"/>
        <item x="31"/>
        <item x="264"/>
        <item x="106"/>
        <item x="233"/>
        <item x="237"/>
        <item x="193"/>
        <item x="128"/>
        <item x="68"/>
        <item x="43"/>
        <item x="40"/>
        <item x="167"/>
        <item x="59"/>
        <item x="217"/>
        <item x="161"/>
        <item x="268"/>
        <item x="159"/>
        <item x="220"/>
        <item x="288"/>
        <item x="8"/>
        <item x="0"/>
        <item x="126"/>
        <item x="113"/>
        <item x="131"/>
        <item x="285"/>
        <item x="32"/>
        <item x="36"/>
        <item x="18"/>
        <item x="208"/>
        <item x="70"/>
        <item x="51"/>
        <item x="60"/>
        <item x="187"/>
        <item x="49"/>
        <item x="97"/>
        <item x="292"/>
        <item x="229"/>
        <item x="218"/>
        <item x="82"/>
        <item x="129"/>
        <item x="250"/>
        <item x="246"/>
        <item x="242"/>
        <item x="152"/>
        <item x="100"/>
        <item x="88"/>
        <item x="72"/>
        <item x="260"/>
        <item x="201"/>
        <item x="127"/>
        <item x="226"/>
        <item x="132"/>
        <item x="186"/>
        <item x="302"/>
        <item x="44"/>
        <item x="253"/>
        <item x="135"/>
        <item x="178"/>
        <item x="107"/>
        <item x="62"/>
        <item x="251"/>
        <item x="261"/>
        <item x="78"/>
        <item x="216"/>
        <item x="206"/>
        <item x="158"/>
        <item x="27"/>
        <item x="111"/>
        <item x="4"/>
        <item x="96"/>
        <item x="307"/>
        <item x="269"/>
        <item x="48"/>
        <item x="211"/>
        <item x="47"/>
        <item x="200"/>
        <item x="166"/>
        <item x="91"/>
        <item x="219"/>
        <item x="191"/>
        <item x="221"/>
        <item x="262"/>
        <item x="259"/>
        <item x="244"/>
        <item x="196"/>
        <item x="108"/>
        <item x="117"/>
        <item x="71"/>
        <item x="58"/>
        <item x="291"/>
        <item x="298"/>
        <item x="37"/>
        <item x="73"/>
        <item x="255"/>
        <item x="38"/>
        <item x="284"/>
        <item x="104"/>
        <item x="103"/>
        <item x="22"/>
        <item x="139"/>
        <item x="15"/>
        <item x="181"/>
        <item x="77"/>
        <item x="87"/>
        <item x="180"/>
        <item x="192"/>
        <item x="293"/>
        <item x="42"/>
        <item x="79"/>
        <item x="157"/>
        <item x="169"/>
        <item x="81"/>
        <item x="185"/>
        <item x="80"/>
        <item x="95"/>
        <item x="76"/>
        <item x="277"/>
        <item x="125"/>
        <item x="13"/>
        <item x="123"/>
        <item x="280"/>
        <item x="263"/>
        <item x="119"/>
        <item x="149"/>
        <item x="176"/>
        <item x="30"/>
        <item x="25"/>
        <item x="179"/>
        <item x="20"/>
        <item x="33"/>
        <item x="86"/>
        <item x="183"/>
        <item x="14"/>
        <item x="266"/>
        <item x="184"/>
        <item x="210"/>
        <item x="105"/>
        <item x="34"/>
        <item x="270"/>
        <item x="10"/>
        <item x="188"/>
        <item x="239"/>
        <item x="23"/>
        <item x="56"/>
        <item x="98"/>
        <item x="267"/>
        <item x="61"/>
        <item x="204"/>
        <item x="199"/>
        <item x="234"/>
        <item x="308"/>
        <item x="194"/>
        <item x="265"/>
        <item x="258"/>
        <item x="202"/>
        <item x="240"/>
        <item x="114"/>
        <item x="279"/>
        <item x="115"/>
        <item x="168"/>
        <item x="148"/>
        <item x="197"/>
        <item x="1"/>
        <item x="274"/>
        <item x="232"/>
        <item x="116"/>
        <item x="203"/>
        <item x="283"/>
        <item x="275"/>
        <item x="236"/>
        <item x="276"/>
        <item x="138"/>
        <item x="304"/>
        <item x="45"/>
        <item x="227"/>
        <item x="83"/>
        <item x="93"/>
        <item x="41"/>
        <item x="300"/>
        <item x="54"/>
        <item x="256"/>
        <item x="21"/>
        <item x="171"/>
        <item x="205"/>
        <item x="57"/>
        <item x="311"/>
        <item x="173"/>
        <item x="190"/>
        <item x="189"/>
        <item x="198"/>
        <item x="55"/>
        <item x="301"/>
        <item x="310"/>
        <item x="212"/>
        <item x="281"/>
        <item x="3"/>
        <item x="142"/>
        <item x="143"/>
        <item t="default"/>
      </items>
    </pivotField>
    <pivotField showAll="0"/>
    <pivotField showAll="0">
      <items count="5">
        <item x="3"/>
        <item h="1" x="0"/>
        <item h="1" x="2"/>
        <item h="1" x="1"/>
        <item t="default"/>
      </items>
    </pivotField>
    <pivotField showAll="0"/>
    <pivotField showAll="0"/>
    <pivotField showAll="0"/>
    <pivotField showAll="0"/>
    <pivotField showAll="0"/>
    <pivotField dataField="1" showAll="0"/>
    <pivotField showAll="0"/>
    <pivotField showAll="0"/>
    <pivotField showAll="0"/>
    <pivotField axis="axisRow" showAll="0">
      <items count="13">
        <item x="5"/>
        <item x="2"/>
        <item x="6"/>
        <item x="1"/>
        <item x="7"/>
        <item x="3"/>
        <item x="8"/>
        <item x="0"/>
        <item x="11"/>
        <item x="10"/>
        <item x="4"/>
        <item x="9"/>
        <item t="default"/>
      </items>
    </pivotField>
    <pivotField showAll="0"/>
    <pivotField showAll="0"/>
    <pivotField showAll="0"/>
    <pivotField showAll="0"/>
    <pivotField showAll="0"/>
  </pivotFields>
  <rowFields count="1">
    <field x="13"/>
  </rowFields>
  <rowItems count="13">
    <i>
      <x/>
    </i>
    <i>
      <x v="1"/>
    </i>
    <i>
      <x v="2"/>
    </i>
    <i>
      <x v="3"/>
    </i>
    <i>
      <x v="4"/>
    </i>
    <i>
      <x v="5"/>
    </i>
    <i>
      <x v="6"/>
    </i>
    <i>
      <x v="7"/>
    </i>
    <i>
      <x v="8"/>
    </i>
    <i>
      <x v="9"/>
    </i>
    <i>
      <x v="10"/>
    </i>
    <i>
      <x v="11"/>
    </i>
    <i t="grand">
      <x/>
    </i>
  </rowItems>
  <colItems count="1">
    <i/>
  </colItems>
  <dataFields count="1">
    <dataField name="Sum of Sales" fld="9"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7" firstHeaderRow="1" firstDataRow="1" firstDataCol="1"/>
  <pivotFields count="19">
    <pivotField showAll="0"/>
    <pivotField showAll="0"/>
    <pivotField showAll="0"/>
    <pivotField showAll="0">
      <items count="5">
        <item x="3"/>
        <item h="1" x="0"/>
        <item h="1" x="2"/>
        <item h="1" x="1"/>
        <item t="default"/>
      </items>
    </pivotField>
    <pivotField showAll="0"/>
    <pivotField axis="axisRow"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Quantity"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7" name="PivotTable3"/>
    <pivotTable tabId="6" name="PivotTable2"/>
    <pivotTable tabId="8" name="PivotTable4"/>
  </pivotTables>
  <data>
    <tabular pivotCacheId="1">
      <items count="4">
        <i x="3" s="1"/>
        <i x="0"/>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1"/>
  </pivotTables>
  <data>
    <tabular pivotCacheId="1">
      <items count="6">
        <i x="3" s="1"/>
        <i x="4" s="1"/>
        <i x="0"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1"/>
  <sheetViews>
    <sheetView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1001</v>
      </c>
      <c r="B2" t="s">
        <v>11</v>
      </c>
      <c r="C2" t="s">
        <v>12</v>
      </c>
      <c r="D2" t="s">
        <v>13</v>
      </c>
      <c r="E2" t="s">
        <v>14</v>
      </c>
      <c r="F2" t="s">
        <v>15</v>
      </c>
      <c r="G2">
        <v>3</v>
      </c>
      <c r="H2">
        <v>1500</v>
      </c>
      <c r="I2">
        <v>0</v>
      </c>
      <c r="J2">
        <v>4500</v>
      </c>
      <c r="K2">
        <v>580.59</v>
      </c>
    </row>
    <row r="3" spans="1:11" x14ac:dyDescent="0.25">
      <c r="A3">
        <v>1002</v>
      </c>
      <c r="B3" t="s">
        <v>16</v>
      </c>
      <c r="C3" t="s">
        <v>12</v>
      </c>
      <c r="D3" t="s">
        <v>17</v>
      </c>
      <c r="E3" t="s">
        <v>18</v>
      </c>
      <c r="F3" t="s">
        <v>19</v>
      </c>
      <c r="G3">
        <v>9</v>
      </c>
      <c r="H3">
        <v>7000</v>
      </c>
      <c r="I3">
        <v>0</v>
      </c>
      <c r="J3">
        <v>63000</v>
      </c>
      <c r="K3">
        <v>7627.24</v>
      </c>
    </row>
    <row r="4" spans="1:11" x14ac:dyDescent="0.25">
      <c r="A4">
        <v>1003</v>
      </c>
      <c r="B4" t="s">
        <v>20</v>
      </c>
      <c r="C4" t="s">
        <v>21</v>
      </c>
      <c r="D4" t="s">
        <v>22</v>
      </c>
      <c r="E4" t="s">
        <v>23</v>
      </c>
      <c r="F4" t="s">
        <v>24</v>
      </c>
      <c r="G4">
        <v>5</v>
      </c>
      <c r="H4">
        <v>12000</v>
      </c>
      <c r="I4">
        <v>10</v>
      </c>
      <c r="J4">
        <v>54000</v>
      </c>
      <c r="K4">
        <v>12150.1</v>
      </c>
    </row>
    <row r="5" spans="1:11" x14ac:dyDescent="0.25">
      <c r="A5">
        <v>1004</v>
      </c>
      <c r="B5" t="s">
        <v>25</v>
      </c>
      <c r="C5" t="s">
        <v>26</v>
      </c>
      <c r="D5" t="s">
        <v>27</v>
      </c>
      <c r="E5" t="s">
        <v>28</v>
      </c>
      <c r="F5" t="s">
        <v>15</v>
      </c>
      <c r="G5">
        <v>2</v>
      </c>
      <c r="H5">
        <v>800</v>
      </c>
      <c r="I5">
        <v>10</v>
      </c>
      <c r="J5">
        <v>1440</v>
      </c>
      <c r="K5">
        <v>242.64</v>
      </c>
    </row>
    <row r="6" spans="1:11" x14ac:dyDescent="0.25">
      <c r="A6">
        <v>1005</v>
      </c>
      <c r="B6" t="s">
        <v>29</v>
      </c>
      <c r="C6" t="s">
        <v>30</v>
      </c>
      <c r="D6" t="s">
        <v>22</v>
      </c>
      <c r="E6" t="s">
        <v>14</v>
      </c>
      <c r="F6" t="s">
        <v>15</v>
      </c>
      <c r="G6">
        <v>5</v>
      </c>
      <c r="H6">
        <v>1500</v>
      </c>
      <c r="I6">
        <v>0</v>
      </c>
      <c r="J6">
        <v>7500</v>
      </c>
      <c r="K6">
        <v>961.67</v>
      </c>
    </row>
    <row r="7" spans="1:11" x14ac:dyDescent="0.25">
      <c r="A7">
        <v>1006</v>
      </c>
      <c r="B7" t="s">
        <v>31</v>
      </c>
      <c r="C7" t="s">
        <v>32</v>
      </c>
      <c r="D7" t="s">
        <v>17</v>
      </c>
      <c r="E7" t="s">
        <v>18</v>
      </c>
      <c r="F7" t="s">
        <v>19</v>
      </c>
      <c r="G7">
        <v>1</v>
      </c>
      <c r="H7">
        <v>7000</v>
      </c>
      <c r="I7">
        <v>20</v>
      </c>
      <c r="J7">
        <v>5600</v>
      </c>
      <c r="K7">
        <v>1084.1500000000001</v>
      </c>
    </row>
    <row r="8" spans="1:11" x14ac:dyDescent="0.25">
      <c r="A8">
        <v>1007</v>
      </c>
      <c r="B8" t="s">
        <v>33</v>
      </c>
      <c r="C8" t="s">
        <v>30</v>
      </c>
      <c r="D8" t="s">
        <v>27</v>
      </c>
      <c r="E8" t="s">
        <v>34</v>
      </c>
      <c r="F8" t="s">
        <v>24</v>
      </c>
      <c r="G8">
        <v>9</v>
      </c>
      <c r="H8">
        <v>55000</v>
      </c>
      <c r="I8">
        <v>0</v>
      </c>
      <c r="J8">
        <v>495000</v>
      </c>
      <c r="K8">
        <v>48387.56</v>
      </c>
    </row>
    <row r="9" spans="1:11" x14ac:dyDescent="0.25">
      <c r="A9">
        <v>1008</v>
      </c>
      <c r="B9" t="s">
        <v>35</v>
      </c>
      <c r="C9" t="s">
        <v>30</v>
      </c>
      <c r="D9" t="s">
        <v>13</v>
      </c>
      <c r="E9" t="s">
        <v>23</v>
      </c>
      <c r="F9" t="s">
        <v>24</v>
      </c>
      <c r="G9">
        <v>8</v>
      </c>
      <c r="H9">
        <v>12000</v>
      </c>
      <c r="I9">
        <v>10</v>
      </c>
      <c r="J9">
        <v>86400</v>
      </c>
      <c r="K9">
        <v>16894.59</v>
      </c>
    </row>
    <row r="10" spans="1:11" x14ac:dyDescent="0.25">
      <c r="A10">
        <v>1009</v>
      </c>
      <c r="B10" t="s">
        <v>31</v>
      </c>
      <c r="C10" t="s">
        <v>36</v>
      </c>
      <c r="D10" t="s">
        <v>17</v>
      </c>
      <c r="E10" t="s">
        <v>18</v>
      </c>
      <c r="F10" t="s">
        <v>19</v>
      </c>
      <c r="G10">
        <v>7</v>
      </c>
      <c r="H10">
        <v>7000</v>
      </c>
      <c r="I10">
        <v>10</v>
      </c>
      <c r="J10">
        <v>44100</v>
      </c>
      <c r="K10">
        <v>11000.61</v>
      </c>
    </row>
    <row r="11" spans="1:11" x14ac:dyDescent="0.25">
      <c r="A11">
        <v>1010</v>
      </c>
      <c r="B11" t="s">
        <v>37</v>
      </c>
      <c r="C11" t="s">
        <v>12</v>
      </c>
      <c r="D11" t="s">
        <v>22</v>
      </c>
      <c r="E11" t="s">
        <v>18</v>
      </c>
      <c r="F11" t="s">
        <v>19</v>
      </c>
      <c r="G11">
        <v>10</v>
      </c>
      <c r="H11">
        <v>7000</v>
      </c>
      <c r="I11">
        <v>15</v>
      </c>
      <c r="J11">
        <v>59500</v>
      </c>
      <c r="K11">
        <v>8828.7800000000007</v>
      </c>
    </row>
    <row r="12" spans="1:11" x14ac:dyDescent="0.25">
      <c r="A12">
        <v>1011</v>
      </c>
      <c r="B12" t="s">
        <v>38</v>
      </c>
      <c r="C12" t="s">
        <v>39</v>
      </c>
      <c r="D12" t="s">
        <v>27</v>
      </c>
      <c r="E12" t="s">
        <v>14</v>
      </c>
      <c r="F12" t="s">
        <v>15</v>
      </c>
      <c r="G12">
        <v>1</v>
      </c>
      <c r="H12">
        <v>1500</v>
      </c>
      <c r="I12">
        <v>15</v>
      </c>
      <c r="J12">
        <v>1275</v>
      </c>
      <c r="K12">
        <v>307.95</v>
      </c>
    </row>
    <row r="13" spans="1:11" x14ac:dyDescent="0.25">
      <c r="A13">
        <v>1012</v>
      </c>
      <c r="B13" t="s">
        <v>40</v>
      </c>
      <c r="C13" t="s">
        <v>41</v>
      </c>
      <c r="D13" t="s">
        <v>22</v>
      </c>
      <c r="E13" t="s">
        <v>18</v>
      </c>
      <c r="F13" t="s">
        <v>19</v>
      </c>
      <c r="G13">
        <v>5</v>
      </c>
      <c r="H13">
        <v>7000</v>
      </c>
      <c r="I13">
        <v>15</v>
      </c>
      <c r="J13">
        <v>29750</v>
      </c>
      <c r="K13">
        <v>4767.5200000000004</v>
      </c>
    </row>
    <row r="14" spans="1:11" x14ac:dyDescent="0.25">
      <c r="A14">
        <v>1013</v>
      </c>
      <c r="B14" t="s">
        <v>42</v>
      </c>
      <c r="C14" t="s">
        <v>30</v>
      </c>
      <c r="D14" t="s">
        <v>22</v>
      </c>
      <c r="E14" t="s">
        <v>43</v>
      </c>
      <c r="F14" t="s">
        <v>24</v>
      </c>
      <c r="G14">
        <v>8</v>
      </c>
      <c r="H14">
        <v>9000</v>
      </c>
      <c r="I14">
        <v>0</v>
      </c>
      <c r="J14">
        <v>72000</v>
      </c>
      <c r="K14">
        <v>6499.44</v>
      </c>
    </row>
    <row r="15" spans="1:11" x14ac:dyDescent="0.25">
      <c r="A15">
        <v>1014</v>
      </c>
      <c r="B15" t="s">
        <v>44</v>
      </c>
      <c r="C15" t="s">
        <v>45</v>
      </c>
      <c r="D15" t="s">
        <v>22</v>
      </c>
      <c r="E15" t="s">
        <v>14</v>
      </c>
      <c r="F15" t="s">
        <v>15</v>
      </c>
      <c r="G15">
        <v>7</v>
      </c>
      <c r="H15">
        <v>1500</v>
      </c>
      <c r="I15">
        <v>10</v>
      </c>
      <c r="J15">
        <v>9450</v>
      </c>
      <c r="K15">
        <v>1035.6300000000001</v>
      </c>
    </row>
    <row r="16" spans="1:11" x14ac:dyDescent="0.25">
      <c r="A16">
        <v>1015</v>
      </c>
      <c r="B16" t="s">
        <v>46</v>
      </c>
      <c r="C16" t="s">
        <v>47</v>
      </c>
      <c r="D16" t="s">
        <v>17</v>
      </c>
      <c r="E16" t="s">
        <v>18</v>
      </c>
      <c r="F16" t="s">
        <v>19</v>
      </c>
      <c r="G16">
        <v>6</v>
      </c>
      <c r="H16">
        <v>7000</v>
      </c>
      <c r="I16">
        <v>0</v>
      </c>
      <c r="J16">
        <v>42000</v>
      </c>
      <c r="K16">
        <v>9041.82</v>
      </c>
    </row>
    <row r="17" spans="1:11" x14ac:dyDescent="0.25">
      <c r="A17">
        <v>1016</v>
      </c>
      <c r="B17" t="s">
        <v>29</v>
      </c>
      <c r="C17" t="s">
        <v>39</v>
      </c>
      <c r="D17" t="s">
        <v>22</v>
      </c>
      <c r="E17" t="s">
        <v>28</v>
      </c>
      <c r="F17" t="s">
        <v>15</v>
      </c>
      <c r="G17">
        <v>10</v>
      </c>
      <c r="H17">
        <v>800</v>
      </c>
      <c r="I17">
        <v>10</v>
      </c>
      <c r="J17">
        <v>7200</v>
      </c>
      <c r="K17">
        <v>1247.17</v>
      </c>
    </row>
    <row r="18" spans="1:11" x14ac:dyDescent="0.25">
      <c r="A18">
        <v>1017</v>
      </c>
      <c r="B18" t="s">
        <v>48</v>
      </c>
      <c r="C18" t="s">
        <v>30</v>
      </c>
      <c r="D18" t="s">
        <v>22</v>
      </c>
      <c r="E18" t="s">
        <v>34</v>
      </c>
      <c r="F18" t="s">
        <v>24</v>
      </c>
      <c r="G18">
        <v>8</v>
      </c>
      <c r="H18">
        <v>55000</v>
      </c>
      <c r="I18">
        <v>20</v>
      </c>
      <c r="J18">
        <v>352000</v>
      </c>
      <c r="K18">
        <v>31797.26</v>
      </c>
    </row>
    <row r="19" spans="1:11" x14ac:dyDescent="0.25">
      <c r="A19">
        <v>1018</v>
      </c>
      <c r="B19" t="s">
        <v>49</v>
      </c>
      <c r="C19" t="s">
        <v>32</v>
      </c>
      <c r="D19" t="s">
        <v>17</v>
      </c>
      <c r="E19" t="s">
        <v>23</v>
      </c>
      <c r="F19" t="s">
        <v>24</v>
      </c>
      <c r="G19">
        <v>3</v>
      </c>
      <c r="H19">
        <v>12000</v>
      </c>
      <c r="I19">
        <v>15</v>
      </c>
      <c r="J19">
        <v>30600</v>
      </c>
      <c r="K19">
        <v>3739.27</v>
      </c>
    </row>
    <row r="20" spans="1:11" x14ac:dyDescent="0.25">
      <c r="A20">
        <v>1019</v>
      </c>
      <c r="B20" t="s">
        <v>50</v>
      </c>
      <c r="C20" t="s">
        <v>45</v>
      </c>
      <c r="D20" t="s">
        <v>22</v>
      </c>
      <c r="E20" t="s">
        <v>43</v>
      </c>
      <c r="F20" t="s">
        <v>24</v>
      </c>
      <c r="G20">
        <v>10</v>
      </c>
      <c r="H20">
        <v>9000</v>
      </c>
      <c r="I20">
        <v>0</v>
      </c>
      <c r="J20">
        <v>90000</v>
      </c>
      <c r="K20">
        <v>14385.52</v>
      </c>
    </row>
    <row r="21" spans="1:11" x14ac:dyDescent="0.25">
      <c r="A21">
        <v>1020</v>
      </c>
      <c r="B21" t="s">
        <v>51</v>
      </c>
      <c r="C21" t="s">
        <v>47</v>
      </c>
      <c r="D21" t="s">
        <v>13</v>
      </c>
      <c r="E21" t="s">
        <v>18</v>
      </c>
      <c r="F21" t="s">
        <v>19</v>
      </c>
      <c r="G21">
        <v>10</v>
      </c>
      <c r="H21">
        <v>7000</v>
      </c>
      <c r="I21">
        <v>0</v>
      </c>
      <c r="J21">
        <v>70000</v>
      </c>
      <c r="K21">
        <v>13805.13</v>
      </c>
    </row>
    <row r="22" spans="1:11" x14ac:dyDescent="0.25">
      <c r="A22">
        <v>1021</v>
      </c>
      <c r="B22" t="s">
        <v>52</v>
      </c>
      <c r="C22" t="s">
        <v>47</v>
      </c>
      <c r="D22" t="s">
        <v>13</v>
      </c>
      <c r="E22" t="s">
        <v>43</v>
      </c>
      <c r="F22" t="s">
        <v>24</v>
      </c>
      <c r="G22">
        <v>8</v>
      </c>
      <c r="H22">
        <v>9000</v>
      </c>
      <c r="I22">
        <v>15</v>
      </c>
      <c r="J22">
        <v>61200</v>
      </c>
      <c r="K22">
        <v>5803.71</v>
      </c>
    </row>
    <row r="23" spans="1:11" x14ac:dyDescent="0.25">
      <c r="A23">
        <v>1022</v>
      </c>
      <c r="B23" t="s">
        <v>53</v>
      </c>
      <c r="C23" t="s">
        <v>41</v>
      </c>
      <c r="D23" t="s">
        <v>22</v>
      </c>
      <c r="E23" t="s">
        <v>43</v>
      </c>
      <c r="F23" t="s">
        <v>24</v>
      </c>
      <c r="G23">
        <v>8</v>
      </c>
      <c r="H23">
        <v>9000</v>
      </c>
      <c r="I23">
        <v>0</v>
      </c>
      <c r="J23">
        <v>72000</v>
      </c>
      <c r="K23">
        <v>7744.96</v>
      </c>
    </row>
    <row r="24" spans="1:11" x14ac:dyDescent="0.25">
      <c r="A24">
        <v>1023</v>
      </c>
      <c r="B24" t="s">
        <v>54</v>
      </c>
      <c r="C24" t="s">
        <v>45</v>
      </c>
      <c r="D24" t="s">
        <v>13</v>
      </c>
      <c r="E24" t="s">
        <v>28</v>
      </c>
      <c r="F24" t="s">
        <v>15</v>
      </c>
      <c r="G24">
        <v>4</v>
      </c>
      <c r="H24">
        <v>800</v>
      </c>
      <c r="I24">
        <v>15</v>
      </c>
      <c r="J24">
        <v>2720</v>
      </c>
      <c r="K24">
        <v>399.5</v>
      </c>
    </row>
    <row r="25" spans="1:11" x14ac:dyDescent="0.25">
      <c r="A25">
        <v>1024</v>
      </c>
      <c r="B25" t="s">
        <v>55</v>
      </c>
      <c r="C25" t="s">
        <v>21</v>
      </c>
      <c r="D25" t="s">
        <v>17</v>
      </c>
      <c r="E25" t="s">
        <v>34</v>
      </c>
      <c r="F25" t="s">
        <v>24</v>
      </c>
      <c r="G25">
        <v>7</v>
      </c>
      <c r="H25">
        <v>55000</v>
      </c>
      <c r="I25">
        <v>15</v>
      </c>
      <c r="J25">
        <v>327250</v>
      </c>
      <c r="K25">
        <v>75901.240000000005</v>
      </c>
    </row>
    <row r="26" spans="1:11" x14ac:dyDescent="0.25">
      <c r="A26">
        <v>1025</v>
      </c>
      <c r="B26" t="s">
        <v>56</v>
      </c>
      <c r="C26" t="s">
        <v>30</v>
      </c>
      <c r="D26" t="s">
        <v>17</v>
      </c>
      <c r="E26" t="s">
        <v>28</v>
      </c>
      <c r="F26" t="s">
        <v>15</v>
      </c>
      <c r="G26">
        <v>7</v>
      </c>
      <c r="H26">
        <v>800</v>
      </c>
      <c r="I26">
        <v>20</v>
      </c>
      <c r="J26">
        <v>4480</v>
      </c>
      <c r="K26">
        <v>743.93</v>
      </c>
    </row>
    <row r="27" spans="1:11" x14ac:dyDescent="0.25">
      <c r="A27">
        <v>1026</v>
      </c>
      <c r="B27" t="s">
        <v>57</v>
      </c>
      <c r="C27" t="s">
        <v>47</v>
      </c>
      <c r="D27" t="s">
        <v>27</v>
      </c>
      <c r="E27" t="s">
        <v>18</v>
      </c>
      <c r="F27" t="s">
        <v>19</v>
      </c>
      <c r="G27">
        <v>4</v>
      </c>
      <c r="H27">
        <v>7000</v>
      </c>
      <c r="I27">
        <v>5</v>
      </c>
      <c r="J27">
        <v>26600</v>
      </c>
      <c r="K27">
        <v>5096.09</v>
      </c>
    </row>
    <row r="28" spans="1:11" x14ac:dyDescent="0.25">
      <c r="A28">
        <v>1027</v>
      </c>
      <c r="B28" t="s">
        <v>25</v>
      </c>
      <c r="C28" t="s">
        <v>12</v>
      </c>
      <c r="D28" t="s">
        <v>27</v>
      </c>
      <c r="E28" t="s">
        <v>28</v>
      </c>
      <c r="F28" t="s">
        <v>15</v>
      </c>
      <c r="G28">
        <v>3</v>
      </c>
      <c r="H28">
        <v>800</v>
      </c>
      <c r="I28">
        <v>0</v>
      </c>
      <c r="J28">
        <v>2400</v>
      </c>
      <c r="K28">
        <v>385.47</v>
      </c>
    </row>
    <row r="29" spans="1:11" x14ac:dyDescent="0.25">
      <c r="A29">
        <v>1028</v>
      </c>
      <c r="B29" t="s">
        <v>58</v>
      </c>
      <c r="C29" t="s">
        <v>21</v>
      </c>
      <c r="D29" t="s">
        <v>13</v>
      </c>
      <c r="E29" t="s">
        <v>14</v>
      </c>
      <c r="F29" t="s">
        <v>15</v>
      </c>
      <c r="G29">
        <v>1</v>
      </c>
      <c r="H29">
        <v>1500</v>
      </c>
      <c r="I29">
        <v>0</v>
      </c>
      <c r="J29">
        <v>1500</v>
      </c>
      <c r="K29">
        <v>362.43</v>
      </c>
    </row>
    <row r="30" spans="1:11" x14ac:dyDescent="0.25">
      <c r="A30">
        <v>1029</v>
      </c>
      <c r="B30" t="s">
        <v>59</v>
      </c>
      <c r="C30" t="s">
        <v>36</v>
      </c>
      <c r="D30" t="s">
        <v>17</v>
      </c>
      <c r="E30" t="s">
        <v>18</v>
      </c>
      <c r="F30" t="s">
        <v>19</v>
      </c>
      <c r="G30">
        <v>3</v>
      </c>
      <c r="H30">
        <v>7000</v>
      </c>
      <c r="I30">
        <v>0</v>
      </c>
      <c r="J30">
        <v>21000</v>
      </c>
      <c r="K30">
        <v>3205.78</v>
      </c>
    </row>
    <row r="31" spans="1:11" x14ac:dyDescent="0.25">
      <c r="A31">
        <v>1030</v>
      </c>
      <c r="B31" t="s">
        <v>60</v>
      </c>
      <c r="C31" t="s">
        <v>45</v>
      </c>
      <c r="D31" t="s">
        <v>13</v>
      </c>
      <c r="E31" t="s">
        <v>28</v>
      </c>
      <c r="F31" t="s">
        <v>15</v>
      </c>
      <c r="G31">
        <v>10</v>
      </c>
      <c r="H31">
        <v>800</v>
      </c>
      <c r="I31">
        <v>20</v>
      </c>
      <c r="J31">
        <v>6400</v>
      </c>
      <c r="K31">
        <v>550.73</v>
      </c>
    </row>
    <row r="32" spans="1:11" x14ac:dyDescent="0.25">
      <c r="A32">
        <v>1031</v>
      </c>
      <c r="B32" t="s">
        <v>61</v>
      </c>
      <c r="C32" t="s">
        <v>32</v>
      </c>
      <c r="D32" t="s">
        <v>17</v>
      </c>
      <c r="E32" t="s">
        <v>14</v>
      </c>
      <c r="F32" t="s">
        <v>15</v>
      </c>
      <c r="G32">
        <v>6</v>
      </c>
      <c r="H32">
        <v>1500</v>
      </c>
      <c r="I32">
        <v>20</v>
      </c>
      <c r="J32">
        <v>7200</v>
      </c>
      <c r="K32">
        <v>998.86</v>
      </c>
    </row>
    <row r="33" spans="1:11" x14ac:dyDescent="0.25">
      <c r="A33">
        <v>1032</v>
      </c>
      <c r="B33" t="s">
        <v>62</v>
      </c>
      <c r="C33" t="s">
        <v>45</v>
      </c>
      <c r="D33" t="s">
        <v>13</v>
      </c>
      <c r="E33" t="s">
        <v>34</v>
      </c>
      <c r="F33" t="s">
        <v>24</v>
      </c>
      <c r="G33">
        <v>4</v>
      </c>
      <c r="H33">
        <v>55000</v>
      </c>
      <c r="I33">
        <v>0</v>
      </c>
      <c r="J33">
        <v>220000</v>
      </c>
      <c r="K33">
        <v>38087.18</v>
      </c>
    </row>
    <row r="34" spans="1:11" x14ac:dyDescent="0.25">
      <c r="A34">
        <v>1033</v>
      </c>
      <c r="B34" t="s">
        <v>63</v>
      </c>
      <c r="C34" t="s">
        <v>21</v>
      </c>
      <c r="D34" t="s">
        <v>22</v>
      </c>
      <c r="E34" t="s">
        <v>34</v>
      </c>
      <c r="F34" t="s">
        <v>24</v>
      </c>
      <c r="G34">
        <v>1</v>
      </c>
      <c r="H34">
        <v>55000</v>
      </c>
      <c r="I34">
        <v>5</v>
      </c>
      <c r="J34">
        <v>52250</v>
      </c>
      <c r="K34">
        <v>9734.17</v>
      </c>
    </row>
    <row r="35" spans="1:11" x14ac:dyDescent="0.25">
      <c r="A35">
        <v>1034</v>
      </c>
      <c r="B35" t="s">
        <v>25</v>
      </c>
      <c r="C35" t="s">
        <v>32</v>
      </c>
      <c r="D35" t="s">
        <v>22</v>
      </c>
      <c r="E35" t="s">
        <v>14</v>
      </c>
      <c r="F35" t="s">
        <v>15</v>
      </c>
      <c r="G35">
        <v>8</v>
      </c>
      <c r="H35">
        <v>1500</v>
      </c>
      <c r="I35">
        <v>15</v>
      </c>
      <c r="J35">
        <v>10200</v>
      </c>
      <c r="K35">
        <v>1062.07</v>
      </c>
    </row>
    <row r="36" spans="1:11" x14ac:dyDescent="0.25">
      <c r="A36">
        <v>1035</v>
      </c>
      <c r="B36" t="s">
        <v>58</v>
      </c>
      <c r="C36" t="s">
        <v>39</v>
      </c>
      <c r="D36" t="s">
        <v>13</v>
      </c>
      <c r="E36" t="s">
        <v>34</v>
      </c>
      <c r="F36" t="s">
        <v>24</v>
      </c>
      <c r="G36">
        <v>10</v>
      </c>
      <c r="H36">
        <v>55000</v>
      </c>
      <c r="I36">
        <v>0</v>
      </c>
      <c r="J36">
        <v>550000</v>
      </c>
      <c r="K36">
        <v>126766.07</v>
      </c>
    </row>
    <row r="37" spans="1:11" x14ac:dyDescent="0.25">
      <c r="A37">
        <v>1036</v>
      </c>
      <c r="B37" t="s">
        <v>64</v>
      </c>
      <c r="C37" t="s">
        <v>32</v>
      </c>
      <c r="D37" t="s">
        <v>22</v>
      </c>
      <c r="E37" t="s">
        <v>18</v>
      </c>
      <c r="F37" t="s">
        <v>19</v>
      </c>
      <c r="G37">
        <v>8</v>
      </c>
      <c r="H37">
        <v>7000</v>
      </c>
      <c r="I37">
        <v>15</v>
      </c>
      <c r="J37">
        <v>47600</v>
      </c>
      <c r="K37">
        <v>10277.86</v>
      </c>
    </row>
    <row r="38" spans="1:11" x14ac:dyDescent="0.25">
      <c r="A38">
        <v>1037</v>
      </c>
      <c r="B38" t="s">
        <v>65</v>
      </c>
      <c r="C38" t="s">
        <v>30</v>
      </c>
      <c r="D38" t="s">
        <v>27</v>
      </c>
      <c r="E38" t="s">
        <v>43</v>
      </c>
      <c r="F38" t="s">
        <v>24</v>
      </c>
      <c r="G38">
        <v>4</v>
      </c>
      <c r="H38">
        <v>9000</v>
      </c>
      <c r="I38">
        <v>5</v>
      </c>
      <c r="J38">
        <v>34200</v>
      </c>
      <c r="K38">
        <v>7060.86</v>
      </c>
    </row>
    <row r="39" spans="1:11" x14ac:dyDescent="0.25">
      <c r="A39">
        <v>1038</v>
      </c>
      <c r="B39" t="s">
        <v>61</v>
      </c>
      <c r="C39" t="s">
        <v>32</v>
      </c>
      <c r="D39" t="s">
        <v>27</v>
      </c>
      <c r="E39" t="s">
        <v>28</v>
      </c>
      <c r="F39" t="s">
        <v>15</v>
      </c>
      <c r="G39">
        <v>1</v>
      </c>
      <c r="H39">
        <v>800</v>
      </c>
      <c r="I39">
        <v>5</v>
      </c>
      <c r="J39">
        <v>760</v>
      </c>
      <c r="K39">
        <v>77.17</v>
      </c>
    </row>
    <row r="40" spans="1:11" x14ac:dyDescent="0.25">
      <c r="A40">
        <v>1039</v>
      </c>
      <c r="B40" t="s">
        <v>66</v>
      </c>
      <c r="C40" t="s">
        <v>32</v>
      </c>
      <c r="D40" t="s">
        <v>13</v>
      </c>
      <c r="E40" t="s">
        <v>28</v>
      </c>
      <c r="F40" t="s">
        <v>15</v>
      </c>
      <c r="G40">
        <v>1</v>
      </c>
      <c r="H40">
        <v>800</v>
      </c>
      <c r="I40">
        <v>10</v>
      </c>
      <c r="J40">
        <v>720</v>
      </c>
      <c r="K40">
        <v>86.8</v>
      </c>
    </row>
    <row r="41" spans="1:11" x14ac:dyDescent="0.25">
      <c r="A41">
        <v>1040</v>
      </c>
      <c r="B41" t="s">
        <v>67</v>
      </c>
      <c r="C41" t="s">
        <v>26</v>
      </c>
      <c r="D41" t="s">
        <v>13</v>
      </c>
      <c r="E41" t="s">
        <v>28</v>
      </c>
      <c r="F41" t="s">
        <v>15</v>
      </c>
      <c r="G41">
        <v>7</v>
      </c>
      <c r="H41">
        <v>800</v>
      </c>
      <c r="I41">
        <v>15</v>
      </c>
      <c r="J41">
        <v>4760</v>
      </c>
      <c r="K41">
        <v>665.82</v>
      </c>
    </row>
    <row r="42" spans="1:11" x14ac:dyDescent="0.25">
      <c r="A42">
        <v>1041</v>
      </c>
      <c r="B42" t="s">
        <v>68</v>
      </c>
      <c r="C42" t="s">
        <v>36</v>
      </c>
      <c r="D42" t="s">
        <v>27</v>
      </c>
      <c r="E42" t="s">
        <v>34</v>
      </c>
      <c r="F42" t="s">
        <v>24</v>
      </c>
      <c r="G42">
        <v>9</v>
      </c>
      <c r="H42">
        <v>55000</v>
      </c>
      <c r="I42">
        <v>15</v>
      </c>
      <c r="J42">
        <v>420750</v>
      </c>
      <c r="K42">
        <v>49712.41</v>
      </c>
    </row>
    <row r="43" spans="1:11" x14ac:dyDescent="0.25">
      <c r="A43">
        <v>1042</v>
      </c>
      <c r="B43" t="s">
        <v>69</v>
      </c>
      <c r="C43" t="s">
        <v>47</v>
      </c>
      <c r="D43" t="s">
        <v>17</v>
      </c>
      <c r="E43" t="s">
        <v>14</v>
      </c>
      <c r="F43" t="s">
        <v>15</v>
      </c>
      <c r="G43">
        <v>9</v>
      </c>
      <c r="H43">
        <v>1500</v>
      </c>
      <c r="I43">
        <v>10</v>
      </c>
      <c r="J43">
        <v>12150</v>
      </c>
      <c r="K43">
        <v>2733.15</v>
      </c>
    </row>
    <row r="44" spans="1:11" x14ac:dyDescent="0.25">
      <c r="A44">
        <v>1043</v>
      </c>
      <c r="B44" t="s">
        <v>70</v>
      </c>
      <c r="C44" t="s">
        <v>26</v>
      </c>
      <c r="D44" t="s">
        <v>17</v>
      </c>
      <c r="E44" t="s">
        <v>14</v>
      </c>
      <c r="F44" t="s">
        <v>15</v>
      </c>
      <c r="G44">
        <v>10</v>
      </c>
      <c r="H44">
        <v>1500</v>
      </c>
      <c r="I44">
        <v>20</v>
      </c>
      <c r="J44">
        <v>12000</v>
      </c>
      <c r="K44">
        <v>2905.41</v>
      </c>
    </row>
    <row r="45" spans="1:11" x14ac:dyDescent="0.25">
      <c r="A45">
        <v>1044</v>
      </c>
      <c r="B45" t="s">
        <v>71</v>
      </c>
      <c r="C45" t="s">
        <v>39</v>
      </c>
      <c r="D45" t="s">
        <v>17</v>
      </c>
      <c r="E45" t="s">
        <v>14</v>
      </c>
      <c r="F45" t="s">
        <v>15</v>
      </c>
      <c r="G45">
        <v>3</v>
      </c>
      <c r="H45">
        <v>1500</v>
      </c>
      <c r="I45">
        <v>0</v>
      </c>
      <c r="J45">
        <v>4500</v>
      </c>
      <c r="K45">
        <v>826.28</v>
      </c>
    </row>
    <row r="46" spans="1:11" x14ac:dyDescent="0.25">
      <c r="A46">
        <v>1045</v>
      </c>
      <c r="B46" t="s">
        <v>72</v>
      </c>
      <c r="C46" t="s">
        <v>30</v>
      </c>
      <c r="D46" t="s">
        <v>17</v>
      </c>
      <c r="E46" t="s">
        <v>23</v>
      </c>
      <c r="F46" t="s">
        <v>24</v>
      </c>
      <c r="G46">
        <v>4</v>
      </c>
      <c r="H46">
        <v>12000</v>
      </c>
      <c r="I46">
        <v>20</v>
      </c>
      <c r="J46">
        <v>38400</v>
      </c>
      <c r="K46">
        <v>3276.37</v>
      </c>
    </row>
    <row r="47" spans="1:11" x14ac:dyDescent="0.25">
      <c r="A47">
        <v>1046</v>
      </c>
      <c r="B47" t="s">
        <v>73</v>
      </c>
      <c r="C47" t="s">
        <v>36</v>
      </c>
      <c r="D47" t="s">
        <v>22</v>
      </c>
      <c r="E47" t="s">
        <v>18</v>
      </c>
      <c r="F47" t="s">
        <v>19</v>
      </c>
      <c r="G47">
        <v>3</v>
      </c>
      <c r="H47">
        <v>7000</v>
      </c>
      <c r="I47">
        <v>15</v>
      </c>
      <c r="J47">
        <v>17850</v>
      </c>
      <c r="K47">
        <v>3970.14</v>
      </c>
    </row>
    <row r="48" spans="1:11" x14ac:dyDescent="0.25">
      <c r="A48">
        <v>1047</v>
      </c>
      <c r="B48" t="s">
        <v>74</v>
      </c>
      <c r="C48" t="s">
        <v>30</v>
      </c>
      <c r="D48" t="s">
        <v>13</v>
      </c>
      <c r="E48" t="s">
        <v>43</v>
      </c>
      <c r="F48" t="s">
        <v>24</v>
      </c>
      <c r="G48">
        <v>6</v>
      </c>
      <c r="H48">
        <v>9000</v>
      </c>
      <c r="I48">
        <v>0</v>
      </c>
      <c r="J48">
        <v>54000</v>
      </c>
      <c r="K48">
        <v>8975.93</v>
      </c>
    </row>
    <row r="49" spans="1:11" x14ac:dyDescent="0.25">
      <c r="A49">
        <v>1048</v>
      </c>
      <c r="B49" t="s">
        <v>75</v>
      </c>
      <c r="C49" t="s">
        <v>39</v>
      </c>
      <c r="D49" t="s">
        <v>17</v>
      </c>
      <c r="E49" t="s">
        <v>18</v>
      </c>
      <c r="F49" t="s">
        <v>19</v>
      </c>
      <c r="G49">
        <v>9</v>
      </c>
      <c r="H49">
        <v>7000</v>
      </c>
      <c r="I49">
        <v>10</v>
      </c>
      <c r="J49">
        <v>56700</v>
      </c>
      <c r="K49">
        <v>6324.16</v>
      </c>
    </row>
    <row r="50" spans="1:11" x14ac:dyDescent="0.25">
      <c r="A50">
        <v>1049</v>
      </c>
      <c r="B50" t="s">
        <v>71</v>
      </c>
      <c r="C50" t="s">
        <v>45</v>
      </c>
      <c r="D50" t="s">
        <v>22</v>
      </c>
      <c r="E50" t="s">
        <v>23</v>
      </c>
      <c r="F50" t="s">
        <v>24</v>
      </c>
      <c r="G50">
        <v>5</v>
      </c>
      <c r="H50">
        <v>12000</v>
      </c>
      <c r="I50">
        <v>5</v>
      </c>
      <c r="J50">
        <v>57000</v>
      </c>
      <c r="K50">
        <v>7425.53</v>
      </c>
    </row>
    <row r="51" spans="1:11" x14ac:dyDescent="0.25">
      <c r="A51">
        <v>1050</v>
      </c>
      <c r="B51" t="s">
        <v>76</v>
      </c>
      <c r="C51" t="s">
        <v>26</v>
      </c>
      <c r="D51" t="s">
        <v>27</v>
      </c>
      <c r="E51" t="s">
        <v>18</v>
      </c>
      <c r="F51" t="s">
        <v>19</v>
      </c>
      <c r="G51">
        <v>5</v>
      </c>
      <c r="H51">
        <v>7000</v>
      </c>
      <c r="I51">
        <v>5</v>
      </c>
      <c r="J51">
        <v>33250</v>
      </c>
      <c r="K51">
        <v>4733.7</v>
      </c>
    </row>
    <row r="52" spans="1:11" x14ac:dyDescent="0.25">
      <c r="A52">
        <v>1051</v>
      </c>
      <c r="B52" t="s">
        <v>77</v>
      </c>
      <c r="C52" t="s">
        <v>12</v>
      </c>
      <c r="D52" t="s">
        <v>27</v>
      </c>
      <c r="E52" t="s">
        <v>28</v>
      </c>
      <c r="F52" t="s">
        <v>15</v>
      </c>
      <c r="G52">
        <v>7</v>
      </c>
      <c r="H52">
        <v>800</v>
      </c>
      <c r="I52">
        <v>15</v>
      </c>
      <c r="J52">
        <v>4760</v>
      </c>
      <c r="K52">
        <v>743.66</v>
      </c>
    </row>
    <row r="53" spans="1:11" x14ac:dyDescent="0.25">
      <c r="A53">
        <v>1052</v>
      </c>
      <c r="B53" t="s">
        <v>78</v>
      </c>
      <c r="C53" t="s">
        <v>39</v>
      </c>
      <c r="D53" t="s">
        <v>27</v>
      </c>
      <c r="E53" t="s">
        <v>43</v>
      </c>
      <c r="F53" t="s">
        <v>24</v>
      </c>
      <c r="G53">
        <v>3</v>
      </c>
      <c r="H53">
        <v>9000</v>
      </c>
      <c r="I53">
        <v>15</v>
      </c>
      <c r="J53">
        <v>22950</v>
      </c>
      <c r="K53">
        <v>3684.37</v>
      </c>
    </row>
    <row r="54" spans="1:11" x14ac:dyDescent="0.25">
      <c r="A54">
        <v>1053</v>
      </c>
      <c r="B54" t="s">
        <v>79</v>
      </c>
      <c r="C54" t="s">
        <v>12</v>
      </c>
      <c r="D54" t="s">
        <v>13</v>
      </c>
      <c r="E54" t="s">
        <v>43</v>
      </c>
      <c r="F54" t="s">
        <v>24</v>
      </c>
      <c r="G54">
        <v>6</v>
      </c>
      <c r="H54">
        <v>9000</v>
      </c>
      <c r="I54">
        <v>0</v>
      </c>
      <c r="J54">
        <v>54000</v>
      </c>
      <c r="K54">
        <v>4392.7700000000004</v>
      </c>
    </row>
    <row r="55" spans="1:11" x14ac:dyDescent="0.25">
      <c r="A55">
        <v>1054</v>
      </c>
      <c r="B55" t="s">
        <v>80</v>
      </c>
      <c r="C55" t="s">
        <v>47</v>
      </c>
      <c r="D55" t="s">
        <v>27</v>
      </c>
      <c r="E55" t="s">
        <v>18</v>
      </c>
      <c r="F55" t="s">
        <v>19</v>
      </c>
      <c r="G55">
        <v>3</v>
      </c>
      <c r="H55">
        <v>7000</v>
      </c>
      <c r="I55">
        <v>10</v>
      </c>
      <c r="J55">
        <v>18900</v>
      </c>
      <c r="K55">
        <v>2199.89</v>
      </c>
    </row>
    <row r="56" spans="1:11" x14ac:dyDescent="0.25">
      <c r="A56">
        <v>1055</v>
      </c>
      <c r="B56" t="s">
        <v>81</v>
      </c>
      <c r="C56" t="s">
        <v>36</v>
      </c>
      <c r="D56" t="s">
        <v>13</v>
      </c>
      <c r="E56" t="s">
        <v>43</v>
      </c>
      <c r="F56" t="s">
        <v>24</v>
      </c>
      <c r="G56">
        <v>6</v>
      </c>
      <c r="H56">
        <v>9000</v>
      </c>
      <c r="I56">
        <v>10</v>
      </c>
      <c r="J56">
        <v>48600</v>
      </c>
      <c r="K56">
        <v>8701.64</v>
      </c>
    </row>
    <row r="57" spans="1:11" x14ac:dyDescent="0.25">
      <c r="A57">
        <v>1056</v>
      </c>
      <c r="B57" t="s">
        <v>82</v>
      </c>
      <c r="C57" t="s">
        <v>21</v>
      </c>
      <c r="D57" t="s">
        <v>13</v>
      </c>
      <c r="E57" t="s">
        <v>34</v>
      </c>
      <c r="F57" t="s">
        <v>24</v>
      </c>
      <c r="G57">
        <v>7</v>
      </c>
      <c r="H57">
        <v>55000</v>
      </c>
      <c r="I57">
        <v>0</v>
      </c>
      <c r="J57">
        <v>385000</v>
      </c>
      <c r="K57">
        <v>49188.42</v>
      </c>
    </row>
    <row r="58" spans="1:11" x14ac:dyDescent="0.25">
      <c r="A58">
        <v>1057</v>
      </c>
      <c r="B58" t="s">
        <v>83</v>
      </c>
      <c r="C58" t="s">
        <v>12</v>
      </c>
      <c r="D58" t="s">
        <v>17</v>
      </c>
      <c r="E58" t="s">
        <v>34</v>
      </c>
      <c r="F58" t="s">
        <v>24</v>
      </c>
      <c r="G58">
        <v>4</v>
      </c>
      <c r="H58">
        <v>55000</v>
      </c>
      <c r="I58">
        <v>5</v>
      </c>
      <c r="J58">
        <v>209000</v>
      </c>
      <c r="K58">
        <v>43777.440000000002</v>
      </c>
    </row>
    <row r="59" spans="1:11" x14ac:dyDescent="0.25">
      <c r="A59">
        <v>1058</v>
      </c>
      <c r="B59" t="s">
        <v>84</v>
      </c>
      <c r="C59" t="s">
        <v>47</v>
      </c>
      <c r="D59" t="s">
        <v>27</v>
      </c>
      <c r="E59" t="s">
        <v>28</v>
      </c>
      <c r="F59" t="s">
        <v>15</v>
      </c>
      <c r="G59">
        <v>3</v>
      </c>
      <c r="H59">
        <v>800</v>
      </c>
      <c r="I59">
        <v>10</v>
      </c>
      <c r="J59">
        <v>2160</v>
      </c>
      <c r="K59">
        <v>377.47</v>
      </c>
    </row>
    <row r="60" spans="1:11" x14ac:dyDescent="0.25">
      <c r="A60">
        <v>1059</v>
      </c>
      <c r="B60" t="s">
        <v>85</v>
      </c>
      <c r="C60" t="s">
        <v>45</v>
      </c>
      <c r="D60" t="s">
        <v>27</v>
      </c>
      <c r="E60" t="s">
        <v>18</v>
      </c>
      <c r="F60" t="s">
        <v>19</v>
      </c>
      <c r="G60">
        <v>9</v>
      </c>
      <c r="H60">
        <v>7000</v>
      </c>
      <c r="I60">
        <v>15</v>
      </c>
      <c r="J60">
        <v>53550</v>
      </c>
      <c r="K60">
        <v>7535.81</v>
      </c>
    </row>
    <row r="61" spans="1:11" x14ac:dyDescent="0.25">
      <c r="A61">
        <v>1060</v>
      </c>
      <c r="B61" t="s">
        <v>86</v>
      </c>
      <c r="C61" t="s">
        <v>21</v>
      </c>
      <c r="D61" t="s">
        <v>17</v>
      </c>
      <c r="E61" t="s">
        <v>43</v>
      </c>
      <c r="F61" t="s">
        <v>24</v>
      </c>
      <c r="G61">
        <v>2</v>
      </c>
      <c r="H61">
        <v>9000</v>
      </c>
      <c r="I61">
        <v>20</v>
      </c>
      <c r="J61">
        <v>14400</v>
      </c>
      <c r="K61">
        <v>2294.81</v>
      </c>
    </row>
    <row r="62" spans="1:11" x14ac:dyDescent="0.25">
      <c r="A62">
        <v>1061</v>
      </c>
      <c r="B62" t="s">
        <v>42</v>
      </c>
      <c r="C62" t="s">
        <v>30</v>
      </c>
      <c r="D62" t="s">
        <v>22</v>
      </c>
      <c r="E62" t="s">
        <v>28</v>
      </c>
      <c r="F62" t="s">
        <v>15</v>
      </c>
      <c r="G62">
        <v>2</v>
      </c>
      <c r="H62">
        <v>800</v>
      </c>
      <c r="I62">
        <v>5</v>
      </c>
      <c r="J62">
        <v>1520</v>
      </c>
      <c r="K62">
        <v>340.75</v>
      </c>
    </row>
    <row r="63" spans="1:11" x14ac:dyDescent="0.25">
      <c r="A63">
        <v>1062</v>
      </c>
      <c r="B63" t="s">
        <v>87</v>
      </c>
      <c r="C63" t="s">
        <v>21</v>
      </c>
      <c r="D63" t="s">
        <v>17</v>
      </c>
      <c r="E63" t="s">
        <v>34</v>
      </c>
      <c r="F63" t="s">
        <v>24</v>
      </c>
      <c r="G63">
        <v>3</v>
      </c>
      <c r="H63">
        <v>55000</v>
      </c>
      <c r="I63">
        <v>0</v>
      </c>
      <c r="J63">
        <v>165000</v>
      </c>
      <c r="K63">
        <v>14823.7</v>
      </c>
    </row>
    <row r="64" spans="1:11" x14ac:dyDescent="0.25">
      <c r="A64">
        <v>1063</v>
      </c>
      <c r="B64" t="s">
        <v>88</v>
      </c>
      <c r="C64" t="s">
        <v>47</v>
      </c>
      <c r="D64" t="s">
        <v>27</v>
      </c>
      <c r="E64" t="s">
        <v>34</v>
      </c>
      <c r="F64" t="s">
        <v>24</v>
      </c>
      <c r="G64">
        <v>1</v>
      </c>
      <c r="H64">
        <v>55000</v>
      </c>
      <c r="I64">
        <v>10</v>
      </c>
      <c r="J64">
        <v>49500</v>
      </c>
      <c r="K64">
        <v>6094.63</v>
      </c>
    </row>
    <row r="65" spans="1:11" x14ac:dyDescent="0.25">
      <c r="A65">
        <v>1064</v>
      </c>
      <c r="B65" t="s">
        <v>89</v>
      </c>
      <c r="C65" t="s">
        <v>36</v>
      </c>
      <c r="D65" t="s">
        <v>13</v>
      </c>
      <c r="E65" t="s">
        <v>28</v>
      </c>
      <c r="F65" t="s">
        <v>15</v>
      </c>
      <c r="G65">
        <v>1</v>
      </c>
      <c r="H65">
        <v>800</v>
      </c>
      <c r="I65">
        <v>0</v>
      </c>
      <c r="J65">
        <v>800</v>
      </c>
      <c r="K65">
        <v>188.79</v>
      </c>
    </row>
    <row r="66" spans="1:11" x14ac:dyDescent="0.25">
      <c r="A66">
        <v>1065</v>
      </c>
      <c r="B66" t="s">
        <v>90</v>
      </c>
      <c r="C66" t="s">
        <v>32</v>
      </c>
      <c r="D66" t="s">
        <v>22</v>
      </c>
      <c r="E66" t="s">
        <v>43</v>
      </c>
      <c r="F66" t="s">
        <v>24</v>
      </c>
      <c r="G66">
        <v>8</v>
      </c>
      <c r="H66">
        <v>9000</v>
      </c>
      <c r="I66">
        <v>15</v>
      </c>
      <c r="J66">
        <v>61200</v>
      </c>
      <c r="K66">
        <v>8892.92</v>
      </c>
    </row>
    <row r="67" spans="1:11" x14ac:dyDescent="0.25">
      <c r="A67">
        <v>1066</v>
      </c>
      <c r="B67" t="s">
        <v>91</v>
      </c>
      <c r="C67" t="s">
        <v>30</v>
      </c>
      <c r="D67" t="s">
        <v>22</v>
      </c>
      <c r="E67" t="s">
        <v>23</v>
      </c>
      <c r="F67" t="s">
        <v>24</v>
      </c>
      <c r="G67">
        <v>4</v>
      </c>
      <c r="H67">
        <v>12000</v>
      </c>
      <c r="I67">
        <v>5</v>
      </c>
      <c r="J67">
        <v>45600</v>
      </c>
      <c r="K67">
        <v>9806.44</v>
      </c>
    </row>
    <row r="68" spans="1:11" x14ac:dyDescent="0.25">
      <c r="A68">
        <v>1067</v>
      </c>
      <c r="B68" t="s">
        <v>92</v>
      </c>
      <c r="C68" t="s">
        <v>45</v>
      </c>
      <c r="D68" t="s">
        <v>17</v>
      </c>
      <c r="E68" t="s">
        <v>23</v>
      </c>
      <c r="F68" t="s">
        <v>24</v>
      </c>
      <c r="G68">
        <v>6</v>
      </c>
      <c r="H68">
        <v>12000</v>
      </c>
      <c r="I68">
        <v>5</v>
      </c>
      <c r="J68">
        <v>68400</v>
      </c>
      <c r="K68">
        <v>7414.99</v>
      </c>
    </row>
    <row r="69" spans="1:11" x14ac:dyDescent="0.25">
      <c r="A69">
        <v>1068</v>
      </c>
      <c r="B69" t="s">
        <v>93</v>
      </c>
      <c r="C69" t="s">
        <v>47</v>
      </c>
      <c r="D69" t="s">
        <v>27</v>
      </c>
      <c r="E69" t="s">
        <v>28</v>
      </c>
      <c r="F69" t="s">
        <v>15</v>
      </c>
      <c r="G69">
        <v>7</v>
      </c>
      <c r="H69">
        <v>800</v>
      </c>
      <c r="I69">
        <v>10</v>
      </c>
      <c r="J69">
        <v>5040</v>
      </c>
      <c r="K69">
        <v>408.31</v>
      </c>
    </row>
    <row r="70" spans="1:11" x14ac:dyDescent="0.25">
      <c r="A70">
        <v>1069</v>
      </c>
      <c r="B70" t="s">
        <v>94</v>
      </c>
      <c r="C70" t="s">
        <v>41</v>
      </c>
      <c r="D70" t="s">
        <v>27</v>
      </c>
      <c r="E70" t="s">
        <v>28</v>
      </c>
      <c r="F70" t="s">
        <v>15</v>
      </c>
      <c r="G70">
        <v>3</v>
      </c>
      <c r="H70">
        <v>800</v>
      </c>
      <c r="I70">
        <v>0</v>
      </c>
      <c r="J70">
        <v>2400</v>
      </c>
      <c r="K70">
        <v>221.44</v>
      </c>
    </row>
    <row r="71" spans="1:11" x14ac:dyDescent="0.25">
      <c r="A71">
        <v>1070</v>
      </c>
      <c r="B71" t="s">
        <v>95</v>
      </c>
      <c r="C71" t="s">
        <v>36</v>
      </c>
      <c r="D71" t="s">
        <v>27</v>
      </c>
      <c r="E71" t="s">
        <v>23</v>
      </c>
      <c r="F71" t="s">
        <v>24</v>
      </c>
      <c r="G71">
        <v>3</v>
      </c>
      <c r="H71">
        <v>12000</v>
      </c>
      <c r="I71">
        <v>5</v>
      </c>
      <c r="J71">
        <v>34200</v>
      </c>
      <c r="K71">
        <v>5900.6</v>
      </c>
    </row>
    <row r="72" spans="1:11" x14ac:dyDescent="0.25">
      <c r="A72">
        <v>1071</v>
      </c>
      <c r="B72" t="s">
        <v>96</v>
      </c>
      <c r="C72" t="s">
        <v>45</v>
      </c>
      <c r="D72" t="s">
        <v>22</v>
      </c>
      <c r="E72" t="s">
        <v>23</v>
      </c>
      <c r="F72" t="s">
        <v>24</v>
      </c>
      <c r="G72">
        <v>10</v>
      </c>
      <c r="H72">
        <v>12000</v>
      </c>
      <c r="I72">
        <v>5</v>
      </c>
      <c r="J72">
        <v>114000</v>
      </c>
      <c r="K72">
        <v>27341.82</v>
      </c>
    </row>
    <row r="73" spans="1:11" x14ac:dyDescent="0.25">
      <c r="A73">
        <v>1072</v>
      </c>
      <c r="B73" t="s">
        <v>97</v>
      </c>
      <c r="C73" t="s">
        <v>41</v>
      </c>
      <c r="D73" t="s">
        <v>17</v>
      </c>
      <c r="E73" t="s">
        <v>43</v>
      </c>
      <c r="F73" t="s">
        <v>24</v>
      </c>
      <c r="G73">
        <v>3</v>
      </c>
      <c r="H73">
        <v>9000</v>
      </c>
      <c r="I73">
        <v>20</v>
      </c>
      <c r="J73">
        <v>21600</v>
      </c>
      <c r="K73">
        <v>2571.69</v>
      </c>
    </row>
    <row r="74" spans="1:11" x14ac:dyDescent="0.25">
      <c r="A74">
        <v>1073</v>
      </c>
      <c r="B74" t="s">
        <v>98</v>
      </c>
      <c r="C74" t="s">
        <v>12</v>
      </c>
      <c r="D74" t="s">
        <v>27</v>
      </c>
      <c r="E74" t="s">
        <v>28</v>
      </c>
      <c r="F74" t="s">
        <v>15</v>
      </c>
      <c r="G74">
        <v>8</v>
      </c>
      <c r="H74">
        <v>800</v>
      </c>
      <c r="I74">
        <v>0</v>
      </c>
      <c r="J74">
        <v>6400</v>
      </c>
      <c r="K74">
        <v>1420.99</v>
      </c>
    </row>
    <row r="75" spans="1:11" x14ac:dyDescent="0.25">
      <c r="A75">
        <v>1074</v>
      </c>
      <c r="B75" t="s">
        <v>99</v>
      </c>
      <c r="C75" t="s">
        <v>30</v>
      </c>
      <c r="D75" t="s">
        <v>22</v>
      </c>
      <c r="E75" t="s">
        <v>43</v>
      </c>
      <c r="F75" t="s">
        <v>24</v>
      </c>
      <c r="G75">
        <v>3</v>
      </c>
      <c r="H75">
        <v>9000</v>
      </c>
      <c r="I75">
        <v>15</v>
      </c>
      <c r="J75">
        <v>22950</v>
      </c>
      <c r="K75">
        <v>2624.62</v>
      </c>
    </row>
    <row r="76" spans="1:11" x14ac:dyDescent="0.25">
      <c r="A76">
        <v>1075</v>
      </c>
      <c r="B76" t="s">
        <v>100</v>
      </c>
      <c r="C76" t="s">
        <v>32</v>
      </c>
      <c r="D76" t="s">
        <v>17</v>
      </c>
      <c r="E76" t="s">
        <v>43</v>
      </c>
      <c r="F76" t="s">
        <v>24</v>
      </c>
      <c r="G76">
        <v>1</v>
      </c>
      <c r="H76">
        <v>9000</v>
      </c>
      <c r="I76">
        <v>15</v>
      </c>
      <c r="J76">
        <v>7650</v>
      </c>
      <c r="K76">
        <v>1276.3</v>
      </c>
    </row>
    <row r="77" spans="1:11" x14ac:dyDescent="0.25">
      <c r="A77">
        <v>1076</v>
      </c>
      <c r="B77" t="s">
        <v>101</v>
      </c>
      <c r="C77" t="s">
        <v>32</v>
      </c>
      <c r="D77" t="s">
        <v>13</v>
      </c>
      <c r="E77" t="s">
        <v>28</v>
      </c>
      <c r="F77" t="s">
        <v>15</v>
      </c>
      <c r="G77">
        <v>2</v>
      </c>
      <c r="H77">
        <v>800</v>
      </c>
      <c r="I77">
        <v>10</v>
      </c>
      <c r="J77">
        <v>1440</v>
      </c>
      <c r="K77">
        <v>137.02000000000001</v>
      </c>
    </row>
    <row r="78" spans="1:11" x14ac:dyDescent="0.25">
      <c r="A78">
        <v>1077</v>
      </c>
      <c r="B78" t="s">
        <v>102</v>
      </c>
      <c r="C78" t="s">
        <v>41</v>
      </c>
      <c r="D78" t="s">
        <v>13</v>
      </c>
      <c r="E78" t="s">
        <v>18</v>
      </c>
      <c r="F78" t="s">
        <v>19</v>
      </c>
      <c r="G78">
        <v>3</v>
      </c>
      <c r="H78">
        <v>7000</v>
      </c>
      <c r="I78">
        <v>15</v>
      </c>
      <c r="J78">
        <v>17850</v>
      </c>
      <c r="K78">
        <v>4379.87</v>
      </c>
    </row>
    <row r="79" spans="1:11" x14ac:dyDescent="0.25">
      <c r="A79">
        <v>1078</v>
      </c>
      <c r="B79" t="s">
        <v>103</v>
      </c>
      <c r="C79" t="s">
        <v>45</v>
      </c>
      <c r="D79" t="s">
        <v>27</v>
      </c>
      <c r="E79" t="s">
        <v>23</v>
      </c>
      <c r="F79" t="s">
        <v>24</v>
      </c>
      <c r="G79">
        <v>5</v>
      </c>
      <c r="H79">
        <v>12000</v>
      </c>
      <c r="I79">
        <v>0</v>
      </c>
      <c r="J79">
        <v>60000</v>
      </c>
      <c r="K79">
        <v>14025.31</v>
      </c>
    </row>
    <row r="80" spans="1:11" x14ac:dyDescent="0.25">
      <c r="A80">
        <v>1079</v>
      </c>
      <c r="B80" t="s">
        <v>104</v>
      </c>
      <c r="C80" t="s">
        <v>39</v>
      </c>
      <c r="D80" t="s">
        <v>27</v>
      </c>
      <c r="E80" t="s">
        <v>23</v>
      </c>
      <c r="F80" t="s">
        <v>24</v>
      </c>
      <c r="G80">
        <v>6</v>
      </c>
      <c r="H80">
        <v>12000</v>
      </c>
      <c r="I80">
        <v>20</v>
      </c>
      <c r="J80">
        <v>57600</v>
      </c>
      <c r="K80">
        <v>9800.57</v>
      </c>
    </row>
    <row r="81" spans="1:11" x14ac:dyDescent="0.25">
      <c r="A81">
        <v>1080</v>
      </c>
      <c r="B81" t="s">
        <v>75</v>
      </c>
      <c r="C81" t="s">
        <v>32</v>
      </c>
      <c r="D81" t="s">
        <v>27</v>
      </c>
      <c r="E81" t="s">
        <v>28</v>
      </c>
      <c r="F81" t="s">
        <v>15</v>
      </c>
      <c r="G81">
        <v>9</v>
      </c>
      <c r="H81">
        <v>800</v>
      </c>
      <c r="I81">
        <v>20</v>
      </c>
      <c r="J81">
        <v>5760</v>
      </c>
      <c r="K81">
        <v>581.71</v>
      </c>
    </row>
    <row r="82" spans="1:11" x14ac:dyDescent="0.25">
      <c r="A82">
        <v>1081</v>
      </c>
      <c r="B82" t="s">
        <v>105</v>
      </c>
      <c r="C82" t="s">
        <v>12</v>
      </c>
      <c r="D82" t="s">
        <v>27</v>
      </c>
      <c r="E82" t="s">
        <v>14</v>
      </c>
      <c r="F82" t="s">
        <v>15</v>
      </c>
      <c r="G82">
        <v>5</v>
      </c>
      <c r="H82">
        <v>1500</v>
      </c>
      <c r="I82">
        <v>10</v>
      </c>
      <c r="J82">
        <v>6750</v>
      </c>
      <c r="K82">
        <v>1582.71</v>
      </c>
    </row>
    <row r="83" spans="1:11" x14ac:dyDescent="0.25">
      <c r="A83">
        <v>1082</v>
      </c>
      <c r="B83" t="s">
        <v>106</v>
      </c>
      <c r="C83" t="s">
        <v>45</v>
      </c>
      <c r="D83" t="s">
        <v>27</v>
      </c>
      <c r="E83" t="s">
        <v>34</v>
      </c>
      <c r="F83" t="s">
        <v>24</v>
      </c>
      <c r="G83">
        <v>4</v>
      </c>
      <c r="H83">
        <v>55000</v>
      </c>
      <c r="I83">
        <v>0</v>
      </c>
      <c r="J83">
        <v>220000</v>
      </c>
      <c r="K83">
        <v>43286.11</v>
      </c>
    </row>
    <row r="84" spans="1:11" x14ac:dyDescent="0.25">
      <c r="A84">
        <v>1083</v>
      </c>
      <c r="B84" t="s">
        <v>107</v>
      </c>
      <c r="C84" t="s">
        <v>47</v>
      </c>
      <c r="D84" t="s">
        <v>17</v>
      </c>
      <c r="E84" t="s">
        <v>23</v>
      </c>
      <c r="F84" t="s">
        <v>24</v>
      </c>
      <c r="G84">
        <v>3</v>
      </c>
      <c r="H84">
        <v>12000</v>
      </c>
      <c r="I84">
        <v>0</v>
      </c>
      <c r="J84">
        <v>36000</v>
      </c>
      <c r="K84">
        <v>4290.46</v>
      </c>
    </row>
    <row r="85" spans="1:11" x14ac:dyDescent="0.25">
      <c r="A85">
        <v>1084</v>
      </c>
      <c r="B85" t="s">
        <v>108</v>
      </c>
      <c r="C85" t="s">
        <v>26</v>
      </c>
      <c r="D85" t="s">
        <v>13</v>
      </c>
      <c r="E85" t="s">
        <v>14</v>
      </c>
      <c r="F85" t="s">
        <v>15</v>
      </c>
      <c r="G85">
        <v>8</v>
      </c>
      <c r="H85">
        <v>1500</v>
      </c>
      <c r="I85">
        <v>20</v>
      </c>
      <c r="J85">
        <v>9600</v>
      </c>
      <c r="K85">
        <v>1841.71</v>
      </c>
    </row>
    <row r="86" spans="1:11" x14ac:dyDescent="0.25">
      <c r="A86">
        <v>1085</v>
      </c>
      <c r="B86" t="s">
        <v>109</v>
      </c>
      <c r="C86" t="s">
        <v>47</v>
      </c>
      <c r="D86" t="s">
        <v>13</v>
      </c>
      <c r="E86" t="s">
        <v>34</v>
      </c>
      <c r="F86" t="s">
        <v>24</v>
      </c>
      <c r="G86">
        <v>10</v>
      </c>
      <c r="H86">
        <v>55000</v>
      </c>
      <c r="I86">
        <v>0</v>
      </c>
      <c r="J86">
        <v>550000</v>
      </c>
      <c r="K86">
        <v>98066.59</v>
      </c>
    </row>
    <row r="87" spans="1:11" x14ac:dyDescent="0.25">
      <c r="A87">
        <v>1086</v>
      </c>
      <c r="B87" t="s">
        <v>110</v>
      </c>
      <c r="C87" t="s">
        <v>36</v>
      </c>
      <c r="D87" t="s">
        <v>22</v>
      </c>
      <c r="E87" t="s">
        <v>34</v>
      </c>
      <c r="F87" t="s">
        <v>24</v>
      </c>
      <c r="G87">
        <v>10</v>
      </c>
      <c r="H87">
        <v>55000</v>
      </c>
      <c r="I87">
        <v>10</v>
      </c>
      <c r="J87">
        <v>495000</v>
      </c>
      <c r="K87">
        <v>99251.65</v>
      </c>
    </row>
    <row r="88" spans="1:11" x14ac:dyDescent="0.25">
      <c r="A88">
        <v>1087</v>
      </c>
      <c r="B88" t="s">
        <v>111</v>
      </c>
      <c r="C88" t="s">
        <v>30</v>
      </c>
      <c r="D88" t="s">
        <v>17</v>
      </c>
      <c r="E88" t="s">
        <v>43</v>
      </c>
      <c r="F88" t="s">
        <v>24</v>
      </c>
      <c r="G88">
        <v>7</v>
      </c>
      <c r="H88">
        <v>9000</v>
      </c>
      <c r="I88">
        <v>15</v>
      </c>
      <c r="J88">
        <v>53550</v>
      </c>
      <c r="K88">
        <v>4600.95</v>
      </c>
    </row>
    <row r="89" spans="1:11" x14ac:dyDescent="0.25">
      <c r="A89">
        <v>1088</v>
      </c>
      <c r="B89" t="s">
        <v>112</v>
      </c>
      <c r="C89" t="s">
        <v>47</v>
      </c>
      <c r="D89" t="s">
        <v>17</v>
      </c>
      <c r="E89" t="s">
        <v>28</v>
      </c>
      <c r="F89" t="s">
        <v>15</v>
      </c>
      <c r="G89">
        <v>5</v>
      </c>
      <c r="H89">
        <v>800</v>
      </c>
      <c r="I89">
        <v>10</v>
      </c>
      <c r="J89">
        <v>3600</v>
      </c>
      <c r="K89">
        <v>664.16</v>
      </c>
    </row>
    <row r="90" spans="1:11" x14ac:dyDescent="0.25">
      <c r="A90">
        <v>1089</v>
      </c>
      <c r="B90" t="s">
        <v>113</v>
      </c>
      <c r="C90" t="s">
        <v>21</v>
      </c>
      <c r="D90" t="s">
        <v>13</v>
      </c>
      <c r="E90" t="s">
        <v>43</v>
      </c>
      <c r="F90" t="s">
        <v>24</v>
      </c>
      <c r="G90">
        <v>3</v>
      </c>
      <c r="H90">
        <v>9000</v>
      </c>
      <c r="I90">
        <v>10</v>
      </c>
      <c r="J90">
        <v>24300</v>
      </c>
      <c r="K90">
        <v>5975.83</v>
      </c>
    </row>
    <row r="91" spans="1:11" x14ac:dyDescent="0.25">
      <c r="A91">
        <v>1090</v>
      </c>
      <c r="B91" t="s">
        <v>114</v>
      </c>
      <c r="C91" t="s">
        <v>36</v>
      </c>
      <c r="D91" t="s">
        <v>22</v>
      </c>
      <c r="E91" t="s">
        <v>23</v>
      </c>
      <c r="F91" t="s">
        <v>24</v>
      </c>
      <c r="G91">
        <v>5</v>
      </c>
      <c r="H91">
        <v>12000</v>
      </c>
      <c r="I91">
        <v>0</v>
      </c>
      <c r="J91">
        <v>60000</v>
      </c>
      <c r="K91">
        <v>5011.51</v>
      </c>
    </row>
    <row r="92" spans="1:11" x14ac:dyDescent="0.25">
      <c r="A92">
        <v>1091</v>
      </c>
      <c r="B92" t="s">
        <v>115</v>
      </c>
      <c r="C92" t="s">
        <v>47</v>
      </c>
      <c r="D92" t="s">
        <v>27</v>
      </c>
      <c r="E92" t="s">
        <v>14</v>
      </c>
      <c r="F92" t="s">
        <v>15</v>
      </c>
      <c r="G92">
        <v>2</v>
      </c>
      <c r="H92">
        <v>1500</v>
      </c>
      <c r="I92">
        <v>20</v>
      </c>
      <c r="J92">
        <v>2400</v>
      </c>
      <c r="K92">
        <v>555.57000000000005</v>
      </c>
    </row>
    <row r="93" spans="1:11" x14ac:dyDescent="0.25">
      <c r="A93">
        <v>1092</v>
      </c>
      <c r="B93" t="s">
        <v>116</v>
      </c>
      <c r="C93" t="s">
        <v>39</v>
      </c>
      <c r="D93" t="s">
        <v>17</v>
      </c>
      <c r="E93" t="s">
        <v>43</v>
      </c>
      <c r="F93" t="s">
        <v>24</v>
      </c>
      <c r="G93">
        <v>10</v>
      </c>
      <c r="H93">
        <v>9000</v>
      </c>
      <c r="I93">
        <v>15</v>
      </c>
      <c r="J93">
        <v>76500</v>
      </c>
      <c r="K93">
        <v>9011.4500000000007</v>
      </c>
    </row>
    <row r="94" spans="1:11" x14ac:dyDescent="0.25">
      <c r="A94">
        <v>1093</v>
      </c>
      <c r="B94" t="s">
        <v>117</v>
      </c>
      <c r="C94" t="s">
        <v>39</v>
      </c>
      <c r="D94" t="s">
        <v>13</v>
      </c>
      <c r="E94" t="s">
        <v>34</v>
      </c>
      <c r="F94" t="s">
        <v>24</v>
      </c>
      <c r="G94">
        <v>10</v>
      </c>
      <c r="H94">
        <v>55000</v>
      </c>
      <c r="I94">
        <v>0</v>
      </c>
      <c r="J94">
        <v>550000</v>
      </c>
      <c r="K94">
        <v>68359.240000000005</v>
      </c>
    </row>
    <row r="95" spans="1:11" x14ac:dyDescent="0.25">
      <c r="A95">
        <v>1094</v>
      </c>
      <c r="B95" t="s">
        <v>118</v>
      </c>
      <c r="C95" t="s">
        <v>26</v>
      </c>
      <c r="D95" t="s">
        <v>17</v>
      </c>
      <c r="E95" t="s">
        <v>28</v>
      </c>
      <c r="F95" t="s">
        <v>15</v>
      </c>
      <c r="G95">
        <v>7</v>
      </c>
      <c r="H95">
        <v>800</v>
      </c>
      <c r="I95">
        <v>10</v>
      </c>
      <c r="J95">
        <v>5040</v>
      </c>
      <c r="K95">
        <v>1243.44</v>
      </c>
    </row>
    <row r="96" spans="1:11" x14ac:dyDescent="0.25">
      <c r="A96">
        <v>1095</v>
      </c>
      <c r="B96" t="s">
        <v>119</v>
      </c>
      <c r="C96" t="s">
        <v>45</v>
      </c>
      <c r="D96" t="s">
        <v>27</v>
      </c>
      <c r="E96" t="s">
        <v>23</v>
      </c>
      <c r="F96" t="s">
        <v>24</v>
      </c>
      <c r="G96">
        <v>10</v>
      </c>
      <c r="H96">
        <v>12000</v>
      </c>
      <c r="I96">
        <v>20</v>
      </c>
      <c r="J96">
        <v>96000</v>
      </c>
      <c r="K96">
        <v>17174.810000000001</v>
      </c>
    </row>
    <row r="97" spans="1:11" x14ac:dyDescent="0.25">
      <c r="A97">
        <v>1096</v>
      </c>
      <c r="B97" t="s">
        <v>120</v>
      </c>
      <c r="C97" t="s">
        <v>47</v>
      </c>
      <c r="D97" t="s">
        <v>27</v>
      </c>
      <c r="E97" t="s">
        <v>34</v>
      </c>
      <c r="F97" t="s">
        <v>24</v>
      </c>
      <c r="G97">
        <v>4</v>
      </c>
      <c r="H97">
        <v>55000</v>
      </c>
      <c r="I97">
        <v>0</v>
      </c>
      <c r="J97">
        <v>220000</v>
      </c>
      <c r="K97">
        <v>47399.199999999997</v>
      </c>
    </row>
    <row r="98" spans="1:11" x14ac:dyDescent="0.25">
      <c r="A98">
        <v>1097</v>
      </c>
      <c r="B98" t="s">
        <v>37</v>
      </c>
      <c r="C98" t="s">
        <v>41</v>
      </c>
      <c r="D98" t="s">
        <v>27</v>
      </c>
      <c r="E98" t="s">
        <v>14</v>
      </c>
      <c r="F98" t="s">
        <v>15</v>
      </c>
      <c r="G98">
        <v>7</v>
      </c>
      <c r="H98">
        <v>1500</v>
      </c>
      <c r="I98">
        <v>15</v>
      </c>
      <c r="J98">
        <v>8925</v>
      </c>
      <c r="K98">
        <v>966.53</v>
      </c>
    </row>
    <row r="99" spans="1:11" x14ac:dyDescent="0.25">
      <c r="A99">
        <v>1098</v>
      </c>
      <c r="B99" t="s">
        <v>121</v>
      </c>
      <c r="C99" t="s">
        <v>26</v>
      </c>
      <c r="D99" t="s">
        <v>17</v>
      </c>
      <c r="E99" t="s">
        <v>34</v>
      </c>
      <c r="F99" t="s">
        <v>24</v>
      </c>
      <c r="G99">
        <v>5</v>
      </c>
      <c r="H99">
        <v>55000</v>
      </c>
      <c r="I99">
        <v>20</v>
      </c>
      <c r="J99">
        <v>220000</v>
      </c>
      <c r="K99">
        <v>34562.19</v>
      </c>
    </row>
    <row r="100" spans="1:11" x14ac:dyDescent="0.25">
      <c r="A100">
        <v>1099</v>
      </c>
      <c r="B100" t="s">
        <v>122</v>
      </c>
      <c r="C100" t="s">
        <v>30</v>
      </c>
      <c r="D100" t="s">
        <v>27</v>
      </c>
      <c r="E100" t="s">
        <v>34</v>
      </c>
      <c r="F100" t="s">
        <v>24</v>
      </c>
      <c r="G100">
        <v>10</v>
      </c>
      <c r="H100">
        <v>55000</v>
      </c>
      <c r="I100">
        <v>10</v>
      </c>
      <c r="J100">
        <v>495000</v>
      </c>
      <c r="K100">
        <v>81598.19</v>
      </c>
    </row>
    <row r="101" spans="1:11" x14ac:dyDescent="0.25">
      <c r="A101">
        <v>1100</v>
      </c>
      <c r="B101" t="s">
        <v>123</v>
      </c>
      <c r="C101" t="s">
        <v>21</v>
      </c>
      <c r="D101" t="s">
        <v>17</v>
      </c>
      <c r="E101" t="s">
        <v>14</v>
      </c>
      <c r="F101" t="s">
        <v>15</v>
      </c>
      <c r="G101">
        <v>8</v>
      </c>
      <c r="H101">
        <v>1500</v>
      </c>
      <c r="I101">
        <v>10</v>
      </c>
      <c r="J101">
        <v>10800</v>
      </c>
      <c r="K101">
        <v>1823.83</v>
      </c>
    </row>
    <row r="102" spans="1:11" x14ac:dyDescent="0.25">
      <c r="A102">
        <v>1101</v>
      </c>
      <c r="B102" t="s">
        <v>124</v>
      </c>
      <c r="C102" t="s">
        <v>45</v>
      </c>
      <c r="D102" t="s">
        <v>13</v>
      </c>
      <c r="E102" t="s">
        <v>18</v>
      </c>
      <c r="F102" t="s">
        <v>19</v>
      </c>
      <c r="G102">
        <v>9</v>
      </c>
      <c r="H102">
        <v>7000</v>
      </c>
      <c r="I102">
        <v>0</v>
      </c>
      <c r="J102">
        <v>63000</v>
      </c>
      <c r="K102">
        <v>6335.79</v>
      </c>
    </row>
    <row r="103" spans="1:11" x14ac:dyDescent="0.25">
      <c r="A103">
        <v>1102</v>
      </c>
      <c r="B103" t="s">
        <v>125</v>
      </c>
      <c r="C103" t="s">
        <v>30</v>
      </c>
      <c r="D103" t="s">
        <v>13</v>
      </c>
      <c r="E103" t="s">
        <v>43</v>
      </c>
      <c r="F103" t="s">
        <v>24</v>
      </c>
      <c r="G103">
        <v>5</v>
      </c>
      <c r="H103">
        <v>9000</v>
      </c>
      <c r="I103">
        <v>15</v>
      </c>
      <c r="J103">
        <v>38250</v>
      </c>
      <c r="K103">
        <v>5584.58</v>
      </c>
    </row>
    <row r="104" spans="1:11" x14ac:dyDescent="0.25">
      <c r="A104">
        <v>1103</v>
      </c>
      <c r="B104" t="s">
        <v>126</v>
      </c>
      <c r="C104" t="s">
        <v>39</v>
      </c>
      <c r="D104" t="s">
        <v>27</v>
      </c>
      <c r="E104" t="s">
        <v>14</v>
      </c>
      <c r="F104" t="s">
        <v>15</v>
      </c>
      <c r="G104">
        <v>2</v>
      </c>
      <c r="H104">
        <v>1500</v>
      </c>
      <c r="I104">
        <v>5</v>
      </c>
      <c r="J104">
        <v>2850</v>
      </c>
      <c r="K104">
        <v>658.83</v>
      </c>
    </row>
    <row r="105" spans="1:11" x14ac:dyDescent="0.25">
      <c r="A105">
        <v>1104</v>
      </c>
      <c r="B105" t="s">
        <v>127</v>
      </c>
      <c r="C105" t="s">
        <v>26</v>
      </c>
      <c r="D105" t="s">
        <v>13</v>
      </c>
      <c r="E105" t="s">
        <v>14</v>
      </c>
      <c r="F105" t="s">
        <v>15</v>
      </c>
      <c r="G105">
        <v>4</v>
      </c>
      <c r="H105">
        <v>1500</v>
      </c>
      <c r="I105">
        <v>15</v>
      </c>
      <c r="J105">
        <v>5100</v>
      </c>
      <c r="K105">
        <v>742.14</v>
      </c>
    </row>
    <row r="106" spans="1:11" x14ac:dyDescent="0.25">
      <c r="A106">
        <v>1105</v>
      </c>
      <c r="B106" t="s">
        <v>128</v>
      </c>
      <c r="C106" t="s">
        <v>21</v>
      </c>
      <c r="D106" t="s">
        <v>27</v>
      </c>
      <c r="E106" t="s">
        <v>34</v>
      </c>
      <c r="F106" t="s">
        <v>24</v>
      </c>
      <c r="G106">
        <v>2</v>
      </c>
      <c r="H106">
        <v>55000</v>
      </c>
      <c r="I106">
        <v>20</v>
      </c>
      <c r="J106">
        <v>88000</v>
      </c>
      <c r="K106">
        <v>10362.1</v>
      </c>
    </row>
    <row r="107" spans="1:11" x14ac:dyDescent="0.25">
      <c r="A107">
        <v>1106</v>
      </c>
      <c r="B107" t="s">
        <v>129</v>
      </c>
      <c r="C107" t="s">
        <v>41</v>
      </c>
      <c r="D107" t="s">
        <v>22</v>
      </c>
      <c r="E107" t="s">
        <v>23</v>
      </c>
      <c r="F107" t="s">
        <v>24</v>
      </c>
      <c r="G107">
        <v>6</v>
      </c>
      <c r="H107">
        <v>12000</v>
      </c>
      <c r="I107">
        <v>5</v>
      </c>
      <c r="J107">
        <v>68400</v>
      </c>
      <c r="K107">
        <v>6193.04</v>
      </c>
    </row>
    <row r="108" spans="1:11" x14ac:dyDescent="0.25">
      <c r="A108">
        <v>1107</v>
      </c>
      <c r="B108" t="s">
        <v>130</v>
      </c>
      <c r="C108" t="s">
        <v>47</v>
      </c>
      <c r="D108" t="s">
        <v>22</v>
      </c>
      <c r="E108" t="s">
        <v>34</v>
      </c>
      <c r="F108" t="s">
        <v>24</v>
      </c>
      <c r="G108">
        <v>10</v>
      </c>
      <c r="H108">
        <v>55000</v>
      </c>
      <c r="I108">
        <v>20</v>
      </c>
      <c r="J108">
        <v>440000</v>
      </c>
      <c r="K108">
        <v>104489.18</v>
      </c>
    </row>
    <row r="109" spans="1:11" x14ac:dyDescent="0.25">
      <c r="A109">
        <v>1108</v>
      </c>
      <c r="B109" t="s">
        <v>131</v>
      </c>
      <c r="C109" t="s">
        <v>41</v>
      </c>
      <c r="D109" t="s">
        <v>27</v>
      </c>
      <c r="E109" t="s">
        <v>14</v>
      </c>
      <c r="F109" t="s">
        <v>15</v>
      </c>
      <c r="G109">
        <v>9</v>
      </c>
      <c r="H109">
        <v>1500</v>
      </c>
      <c r="I109">
        <v>10</v>
      </c>
      <c r="J109">
        <v>12150</v>
      </c>
      <c r="K109">
        <v>2744.58</v>
      </c>
    </row>
    <row r="110" spans="1:11" x14ac:dyDescent="0.25">
      <c r="A110">
        <v>1109</v>
      </c>
      <c r="B110" t="s">
        <v>132</v>
      </c>
      <c r="C110" t="s">
        <v>26</v>
      </c>
      <c r="D110" t="s">
        <v>13</v>
      </c>
      <c r="E110" t="s">
        <v>34</v>
      </c>
      <c r="F110" t="s">
        <v>24</v>
      </c>
      <c r="G110">
        <v>8</v>
      </c>
      <c r="H110">
        <v>55000</v>
      </c>
      <c r="I110">
        <v>0</v>
      </c>
      <c r="J110">
        <v>440000</v>
      </c>
      <c r="K110">
        <v>101201.92</v>
      </c>
    </row>
    <row r="111" spans="1:11" x14ac:dyDescent="0.25">
      <c r="A111">
        <v>1110</v>
      </c>
      <c r="B111" t="s">
        <v>133</v>
      </c>
      <c r="C111" t="s">
        <v>47</v>
      </c>
      <c r="D111" t="s">
        <v>13</v>
      </c>
      <c r="E111" t="s">
        <v>23</v>
      </c>
      <c r="F111" t="s">
        <v>24</v>
      </c>
      <c r="G111">
        <v>9</v>
      </c>
      <c r="H111">
        <v>12000</v>
      </c>
      <c r="I111">
        <v>10</v>
      </c>
      <c r="J111">
        <v>97200</v>
      </c>
      <c r="K111">
        <v>15790.9</v>
      </c>
    </row>
    <row r="112" spans="1:11" x14ac:dyDescent="0.25">
      <c r="A112">
        <v>1111</v>
      </c>
      <c r="B112" t="s">
        <v>134</v>
      </c>
      <c r="C112" t="s">
        <v>41</v>
      </c>
      <c r="D112" t="s">
        <v>27</v>
      </c>
      <c r="E112" t="s">
        <v>23</v>
      </c>
      <c r="F112" t="s">
        <v>24</v>
      </c>
      <c r="G112">
        <v>1</v>
      </c>
      <c r="H112">
        <v>12000</v>
      </c>
      <c r="I112">
        <v>5</v>
      </c>
      <c r="J112">
        <v>11400</v>
      </c>
      <c r="K112">
        <v>2569.56</v>
      </c>
    </row>
    <row r="113" spans="1:11" x14ac:dyDescent="0.25">
      <c r="A113">
        <v>1112</v>
      </c>
      <c r="B113" t="s">
        <v>135</v>
      </c>
      <c r="C113" t="s">
        <v>32</v>
      </c>
      <c r="D113" t="s">
        <v>17</v>
      </c>
      <c r="E113" t="s">
        <v>14</v>
      </c>
      <c r="F113" t="s">
        <v>15</v>
      </c>
      <c r="G113">
        <v>6</v>
      </c>
      <c r="H113">
        <v>1500</v>
      </c>
      <c r="I113">
        <v>0</v>
      </c>
      <c r="J113">
        <v>9000</v>
      </c>
      <c r="K113">
        <v>1374.74</v>
      </c>
    </row>
    <row r="114" spans="1:11" x14ac:dyDescent="0.25">
      <c r="A114">
        <v>1113</v>
      </c>
      <c r="B114" t="s">
        <v>136</v>
      </c>
      <c r="C114" t="s">
        <v>26</v>
      </c>
      <c r="D114" t="s">
        <v>27</v>
      </c>
      <c r="E114" t="s">
        <v>14</v>
      </c>
      <c r="F114" t="s">
        <v>15</v>
      </c>
      <c r="G114">
        <v>2</v>
      </c>
      <c r="H114">
        <v>1500</v>
      </c>
      <c r="I114">
        <v>10</v>
      </c>
      <c r="J114">
        <v>2700</v>
      </c>
      <c r="K114">
        <v>607.59</v>
      </c>
    </row>
    <row r="115" spans="1:11" x14ac:dyDescent="0.25">
      <c r="A115">
        <v>1114</v>
      </c>
      <c r="B115" t="s">
        <v>137</v>
      </c>
      <c r="C115" t="s">
        <v>45</v>
      </c>
      <c r="D115" t="s">
        <v>13</v>
      </c>
      <c r="E115" t="s">
        <v>18</v>
      </c>
      <c r="F115" t="s">
        <v>19</v>
      </c>
      <c r="G115">
        <v>2</v>
      </c>
      <c r="H115">
        <v>7000</v>
      </c>
      <c r="I115">
        <v>5</v>
      </c>
      <c r="J115">
        <v>13300</v>
      </c>
      <c r="K115">
        <v>1994.71</v>
      </c>
    </row>
    <row r="116" spans="1:11" x14ac:dyDescent="0.25">
      <c r="A116">
        <v>1115</v>
      </c>
      <c r="B116" t="s">
        <v>138</v>
      </c>
      <c r="C116" t="s">
        <v>36</v>
      </c>
      <c r="D116" t="s">
        <v>17</v>
      </c>
      <c r="E116" t="s">
        <v>34</v>
      </c>
      <c r="F116" t="s">
        <v>24</v>
      </c>
      <c r="G116">
        <v>8</v>
      </c>
      <c r="H116">
        <v>55000</v>
      </c>
      <c r="I116">
        <v>20</v>
      </c>
      <c r="J116">
        <v>352000</v>
      </c>
      <c r="K116">
        <v>32505.25</v>
      </c>
    </row>
    <row r="117" spans="1:11" x14ac:dyDescent="0.25">
      <c r="A117">
        <v>1116</v>
      </c>
      <c r="B117" t="s">
        <v>139</v>
      </c>
      <c r="C117" t="s">
        <v>21</v>
      </c>
      <c r="D117" t="s">
        <v>13</v>
      </c>
      <c r="E117" t="s">
        <v>28</v>
      </c>
      <c r="F117" t="s">
        <v>15</v>
      </c>
      <c r="G117">
        <v>9</v>
      </c>
      <c r="H117">
        <v>800</v>
      </c>
      <c r="I117">
        <v>20</v>
      </c>
      <c r="J117">
        <v>5760</v>
      </c>
      <c r="K117">
        <v>905.86</v>
      </c>
    </row>
    <row r="118" spans="1:11" x14ac:dyDescent="0.25">
      <c r="A118">
        <v>1117</v>
      </c>
      <c r="B118" t="s">
        <v>140</v>
      </c>
      <c r="C118" t="s">
        <v>45</v>
      </c>
      <c r="D118" t="s">
        <v>13</v>
      </c>
      <c r="E118" t="s">
        <v>28</v>
      </c>
      <c r="F118" t="s">
        <v>15</v>
      </c>
      <c r="G118">
        <v>10</v>
      </c>
      <c r="H118">
        <v>800</v>
      </c>
      <c r="I118">
        <v>5</v>
      </c>
      <c r="J118">
        <v>7600</v>
      </c>
      <c r="K118">
        <v>1071.08</v>
      </c>
    </row>
    <row r="119" spans="1:11" x14ac:dyDescent="0.25">
      <c r="A119">
        <v>1118</v>
      </c>
      <c r="B119" t="s">
        <v>141</v>
      </c>
      <c r="C119" t="s">
        <v>39</v>
      </c>
      <c r="D119" t="s">
        <v>22</v>
      </c>
      <c r="E119" t="s">
        <v>43</v>
      </c>
      <c r="F119" t="s">
        <v>24</v>
      </c>
      <c r="G119">
        <v>10</v>
      </c>
      <c r="H119">
        <v>9000</v>
      </c>
      <c r="I119">
        <v>5</v>
      </c>
      <c r="J119">
        <v>85500</v>
      </c>
      <c r="K119">
        <v>7405.86</v>
      </c>
    </row>
    <row r="120" spans="1:11" x14ac:dyDescent="0.25">
      <c r="A120">
        <v>1119</v>
      </c>
      <c r="B120" t="s">
        <v>142</v>
      </c>
      <c r="C120" t="s">
        <v>12</v>
      </c>
      <c r="D120" t="s">
        <v>13</v>
      </c>
      <c r="E120" t="s">
        <v>34</v>
      </c>
      <c r="F120" t="s">
        <v>24</v>
      </c>
      <c r="G120">
        <v>6</v>
      </c>
      <c r="H120">
        <v>55000</v>
      </c>
      <c r="I120">
        <v>20</v>
      </c>
      <c r="J120">
        <v>264000</v>
      </c>
      <c r="K120">
        <v>24975.21</v>
      </c>
    </row>
    <row r="121" spans="1:11" x14ac:dyDescent="0.25">
      <c r="A121">
        <v>1120</v>
      </c>
      <c r="B121" t="s">
        <v>143</v>
      </c>
      <c r="C121" t="s">
        <v>39</v>
      </c>
      <c r="D121" t="s">
        <v>27</v>
      </c>
      <c r="E121" t="s">
        <v>14</v>
      </c>
      <c r="F121" t="s">
        <v>15</v>
      </c>
      <c r="G121">
        <v>1</v>
      </c>
      <c r="H121">
        <v>1500</v>
      </c>
      <c r="I121">
        <v>0</v>
      </c>
      <c r="J121">
        <v>1500</v>
      </c>
      <c r="K121">
        <v>340.16</v>
      </c>
    </row>
    <row r="122" spans="1:11" x14ac:dyDescent="0.25">
      <c r="A122">
        <v>1121</v>
      </c>
      <c r="B122" t="s">
        <v>138</v>
      </c>
      <c r="C122" t="s">
        <v>36</v>
      </c>
      <c r="D122" t="s">
        <v>17</v>
      </c>
      <c r="E122" t="s">
        <v>23</v>
      </c>
      <c r="F122" t="s">
        <v>24</v>
      </c>
      <c r="G122">
        <v>2</v>
      </c>
      <c r="H122">
        <v>12000</v>
      </c>
      <c r="I122">
        <v>20</v>
      </c>
      <c r="J122">
        <v>19200</v>
      </c>
      <c r="K122">
        <v>4599.6000000000004</v>
      </c>
    </row>
    <row r="123" spans="1:11" x14ac:dyDescent="0.25">
      <c r="A123">
        <v>1122</v>
      </c>
      <c r="B123" t="s">
        <v>92</v>
      </c>
      <c r="C123" t="s">
        <v>39</v>
      </c>
      <c r="D123" t="s">
        <v>27</v>
      </c>
      <c r="E123" t="s">
        <v>34</v>
      </c>
      <c r="F123" t="s">
        <v>24</v>
      </c>
      <c r="G123">
        <v>1</v>
      </c>
      <c r="H123">
        <v>55000</v>
      </c>
      <c r="I123">
        <v>5</v>
      </c>
      <c r="J123">
        <v>52250</v>
      </c>
      <c r="K123">
        <v>7908.24</v>
      </c>
    </row>
    <row r="124" spans="1:11" x14ac:dyDescent="0.25">
      <c r="A124">
        <v>1123</v>
      </c>
      <c r="B124" t="s">
        <v>144</v>
      </c>
      <c r="C124" t="s">
        <v>39</v>
      </c>
      <c r="D124" t="s">
        <v>27</v>
      </c>
      <c r="E124" t="s">
        <v>23</v>
      </c>
      <c r="F124" t="s">
        <v>24</v>
      </c>
      <c r="G124">
        <v>4</v>
      </c>
      <c r="H124">
        <v>12000</v>
      </c>
      <c r="I124">
        <v>5</v>
      </c>
      <c r="J124">
        <v>45600</v>
      </c>
      <c r="K124">
        <v>4874.74</v>
      </c>
    </row>
    <row r="125" spans="1:11" x14ac:dyDescent="0.25">
      <c r="A125">
        <v>1124</v>
      </c>
      <c r="B125" t="s">
        <v>145</v>
      </c>
      <c r="C125" t="s">
        <v>12</v>
      </c>
      <c r="D125" t="s">
        <v>22</v>
      </c>
      <c r="E125" t="s">
        <v>14</v>
      </c>
      <c r="F125" t="s">
        <v>15</v>
      </c>
      <c r="G125">
        <v>3</v>
      </c>
      <c r="H125">
        <v>1500</v>
      </c>
      <c r="I125">
        <v>15</v>
      </c>
      <c r="J125">
        <v>3825</v>
      </c>
      <c r="K125">
        <v>329.78</v>
      </c>
    </row>
    <row r="126" spans="1:11" x14ac:dyDescent="0.25">
      <c r="A126">
        <v>1125</v>
      </c>
      <c r="B126" t="s">
        <v>105</v>
      </c>
      <c r="C126" t="s">
        <v>12</v>
      </c>
      <c r="D126" t="s">
        <v>22</v>
      </c>
      <c r="E126" t="s">
        <v>14</v>
      </c>
      <c r="F126" t="s">
        <v>15</v>
      </c>
      <c r="G126">
        <v>2</v>
      </c>
      <c r="H126">
        <v>1500</v>
      </c>
      <c r="I126">
        <v>15</v>
      </c>
      <c r="J126">
        <v>2550</v>
      </c>
      <c r="K126">
        <v>311.67</v>
      </c>
    </row>
    <row r="127" spans="1:11" x14ac:dyDescent="0.25">
      <c r="A127">
        <v>1126</v>
      </c>
      <c r="B127" t="s">
        <v>146</v>
      </c>
      <c r="C127" t="s">
        <v>45</v>
      </c>
      <c r="D127" t="s">
        <v>22</v>
      </c>
      <c r="E127" t="s">
        <v>34</v>
      </c>
      <c r="F127" t="s">
        <v>24</v>
      </c>
      <c r="G127">
        <v>2</v>
      </c>
      <c r="H127">
        <v>55000</v>
      </c>
      <c r="I127">
        <v>15</v>
      </c>
      <c r="J127">
        <v>93500</v>
      </c>
      <c r="K127">
        <v>17801.830000000002</v>
      </c>
    </row>
    <row r="128" spans="1:11" x14ac:dyDescent="0.25">
      <c r="A128">
        <v>1127</v>
      </c>
      <c r="B128" t="s">
        <v>147</v>
      </c>
      <c r="C128" t="s">
        <v>39</v>
      </c>
      <c r="D128" t="s">
        <v>22</v>
      </c>
      <c r="E128" t="s">
        <v>23</v>
      </c>
      <c r="F128" t="s">
        <v>24</v>
      </c>
      <c r="G128">
        <v>2</v>
      </c>
      <c r="H128">
        <v>12000</v>
      </c>
      <c r="I128">
        <v>5</v>
      </c>
      <c r="J128">
        <v>22800</v>
      </c>
      <c r="K128">
        <v>3074.57</v>
      </c>
    </row>
    <row r="129" spans="1:11" x14ac:dyDescent="0.25">
      <c r="A129">
        <v>1128</v>
      </c>
      <c r="B129" t="s">
        <v>148</v>
      </c>
      <c r="C129" t="s">
        <v>36</v>
      </c>
      <c r="D129" t="s">
        <v>22</v>
      </c>
      <c r="E129" t="s">
        <v>43</v>
      </c>
      <c r="F129" t="s">
        <v>24</v>
      </c>
      <c r="G129">
        <v>5</v>
      </c>
      <c r="H129">
        <v>9000</v>
      </c>
      <c r="I129">
        <v>5</v>
      </c>
      <c r="J129">
        <v>42750</v>
      </c>
      <c r="K129">
        <v>10426.459999999999</v>
      </c>
    </row>
    <row r="130" spans="1:11" x14ac:dyDescent="0.25">
      <c r="A130">
        <v>1129</v>
      </c>
      <c r="B130" t="s">
        <v>31</v>
      </c>
      <c r="C130" t="s">
        <v>47</v>
      </c>
      <c r="D130" t="s">
        <v>13</v>
      </c>
      <c r="E130" t="s">
        <v>14</v>
      </c>
      <c r="F130" t="s">
        <v>15</v>
      </c>
      <c r="G130">
        <v>7</v>
      </c>
      <c r="H130">
        <v>1500</v>
      </c>
      <c r="I130">
        <v>5</v>
      </c>
      <c r="J130">
        <v>9975</v>
      </c>
      <c r="K130">
        <v>1434.08</v>
      </c>
    </row>
    <row r="131" spans="1:11" x14ac:dyDescent="0.25">
      <c r="A131">
        <v>1130</v>
      </c>
      <c r="B131" t="s">
        <v>149</v>
      </c>
      <c r="C131" t="s">
        <v>26</v>
      </c>
      <c r="D131" t="s">
        <v>27</v>
      </c>
      <c r="E131" t="s">
        <v>23</v>
      </c>
      <c r="F131" t="s">
        <v>24</v>
      </c>
      <c r="G131">
        <v>8</v>
      </c>
      <c r="H131">
        <v>12000</v>
      </c>
      <c r="I131">
        <v>0</v>
      </c>
      <c r="J131">
        <v>96000</v>
      </c>
      <c r="K131">
        <v>11440.22</v>
      </c>
    </row>
    <row r="132" spans="1:11" x14ac:dyDescent="0.25">
      <c r="A132">
        <v>1131</v>
      </c>
      <c r="B132" t="s">
        <v>150</v>
      </c>
      <c r="C132" t="s">
        <v>21</v>
      </c>
      <c r="D132" t="s">
        <v>13</v>
      </c>
      <c r="E132" t="s">
        <v>23</v>
      </c>
      <c r="F132" t="s">
        <v>24</v>
      </c>
      <c r="G132">
        <v>3</v>
      </c>
      <c r="H132">
        <v>12000</v>
      </c>
      <c r="I132">
        <v>5</v>
      </c>
      <c r="J132">
        <v>34200</v>
      </c>
      <c r="K132">
        <v>5006.75</v>
      </c>
    </row>
    <row r="133" spans="1:11" x14ac:dyDescent="0.25">
      <c r="A133">
        <v>1132</v>
      </c>
      <c r="B133" t="s">
        <v>31</v>
      </c>
      <c r="C133" t="s">
        <v>41</v>
      </c>
      <c r="D133" t="s">
        <v>27</v>
      </c>
      <c r="E133" t="s">
        <v>18</v>
      </c>
      <c r="F133" t="s">
        <v>19</v>
      </c>
      <c r="G133">
        <v>2</v>
      </c>
      <c r="H133">
        <v>7000</v>
      </c>
      <c r="I133">
        <v>10</v>
      </c>
      <c r="J133">
        <v>12600</v>
      </c>
      <c r="K133">
        <v>1324.29</v>
      </c>
    </row>
    <row r="134" spans="1:11" x14ac:dyDescent="0.25">
      <c r="A134">
        <v>1133</v>
      </c>
      <c r="B134" t="s">
        <v>151</v>
      </c>
      <c r="C134" t="s">
        <v>41</v>
      </c>
      <c r="D134" t="s">
        <v>22</v>
      </c>
      <c r="E134" t="s">
        <v>43</v>
      </c>
      <c r="F134" t="s">
        <v>24</v>
      </c>
      <c r="G134">
        <v>5</v>
      </c>
      <c r="H134">
        <v>9000</v>
      </c>
      <c r="I134">
        <v>15</v>
      </c>
      <c r="J134">
        <v>38250</v>
      </c>
      <c r="K134">
        <v>9206.44</v>
      </c>
    </row>
    <row r="135" spans="1:11" x14ac:dyDescent="0.25">
      <c r="A135">
        <v>1134</v>
      </c>
      <c r="B135" t="s">
        <v>152</v>
      </c>
      <c r="C135" t="s">
        <v>45</v>
      </c>
      <c r="D135" t="s">
        <v>13</v>
      </c>
      <c r="E135" t="s">
        <v>14</v>
      </c>
      <c r="F135" t="s">
        <v>15</v>
      </c>
      <c r="G135">
        <v>1</v>
      </c>
      <c r="H135">
        <v>1500</v>
      </c>
      <c r="I135">
        <v>10</v>
      </c>
      <c r="J135">
        <v>1350</v>
      </c>
      <c r="K135">
        <v>116.77</v>
      </c>
    </row>
    <row r="136" spans="1:11" x14ac:dyDescent="0.25">
      <c r="A136">
        <v>1135</v>
      </c>
      <c r="B136" t="s">
        <v>153</v>
      </c>
      <c r="C136" t="s">
        <v>12</v>
      </c>
      <c r="D136" t="s">
        <v>17</v>
      </c>
      <c r="E136" t="s">
        <v>43</v>
      </c>
      <c r="F136" t="s">
        <v>24</v>
      </c>
      <c r="G136">
        <v>4</v>
      </c>
      <c r="H136">
        <v>9000</v>
      </c>
      <c r="I136">
        <v>15</v>
      </c>
      <c r="J136">
        <v>30600</v>
      </c>
      <c r="K136">
        <v>3047.27</v>
      </c>
    </row>
    <row r="137" spans="1:11" x14ac:dyDescent="0.25">
      <c r="A137">
        <v>1136</v>
      </c>
      <c r="B137" t="s">
        <v>154</v>
      </c>
      <c r="C137" t="s">
        <v>41</v>
      </c>
      <c r="D137" t="s">
        <v>27</v>
      </c>
      <c r="E137" t="s">
        <v>43</v>
      </c>
      <c r="F137" t="s">
        <v>24</v>
      </c>
      <c r="G137">
        <v>4</v>
      </c>
      <c r="H137">
        <v>9000</v>
      </c>
      <c r="I137">
        <v>0</v>
      </c>
      <c r="J137">
        <v>36000</v>
      </c>
      <c r="K137">
        <v>6626.75</v>
      </c>
    </row>
    <row r="138" spans="1:11" x14ac:dyDescent="0.25">
      <c r="A138">
        <v>1137</v>
      </c>
      <c r="B138" t="s">
        <v>155</v>
      </c>
      <c r="C138" t="s">
        <v>39</v>
      </c>
      <c r="D138" t="s">
        <v>13</v>
      </c>
      <c r="E138" t="s">
        <v>23</v>
      </c>
      <c r="F138" t="s">
        <v>24</v>
      </c>
      <c r="G138">
        <v>9</v>
      </c>
      <c r="H138">
        <v>12000</v>
      </c>
      <c r="I138">
        <v>10</v>
      </c>
      <c r="J138">
        <v>97200</v>
      </c>
      <c r="K138">
        <v>10647.39</v>
      </c>
    </row>
    <row r="139" spans="1:11" x14ac:dyDescent="0.25">
      <c r="A139">
        <v>1138</v>
      </c>
      <c r="B139" t="s">
        <v>156</v>
      </c>
      <c r="C139" t="s">
        <v>30</v>
      </c>
      <c r="D139" t="s">
        <v>22</v>
      </c>
      <c r="E139" t="s">
        <v>43</v>
      </c>
      <c r="F139" t="s">
        <v>24</v>
      </c>
      <c r="G139">
        <v>9</v>
      </c>
      <c r="H139">
        <v>9000</v>
      </c>
      <c r="I139">
        <v>5</v>
      </c>
      <c r="J139">
        <v>76950</v>
      </c>
      <c r="K139">
        <v>9597.26</v>
      </c>
    </row>
    <row r="140" spans="1:11" x14ac:dyDescent="0.25">
      <c r="A140">
        <v>1139</v>
      </c>
      <c r="B140" t="s">
        <v>77</v>
      </c>
      <c r="C140" t="s">
        <v>36</v>
      </c>
      <c r="D140" t="s">
        <v>22</v>
      </c>
      <c r="E140" t="s">
        <v>34</v>
      </c>
      <c r="F140" t="s">
        <v>24</v>
      </c>
      <c r="G140">
        <v>8</v>
      </c>
      <c r="H140">
        <v>55000</v>
      </c>
      <c r="I140">
        <v>20</v>
      </c>
      <c r="J140">
        <v>352000</v>
      </c>
      <c r="K140">
        <v>64133</v>
      </c>
    </row>
    <row r="141" spans="1:11" x14ac:dyDescent="0.25">
      <c r="A141">
        <v>1140</v>
      </c>
      <c r="B141" t="s">
        <v>157</v>
      </c>
      <c r="C141" t="s">
        <v>30</v>
      </c>
      <c r="D141" t="s">
        <v>13</v>
      </c>
      <c r="E141" t="s">
        <v>43</v>
      </c>
      <c r="F141" t="s">
        <v>24</v>
      </c>
      <c r="G141">
        <v>10</v>
      </c>
      <c r="H141">
        <v>9000</v>
      </c>
      <c r="I141">
        <v>20</v>
      </c>
      <c r="J141">
        <v>72000</v>
      </c>
      <c r="K141">
        <v>12202.61</v>
      </c>
    </row>
    <row r="142" spans="1:11" x14ac:dyDescent="0.25">
      <c r="A142">
        <v>1141</v>
      </c>
      <c r="B142" t="s">
        <v>91</v>
      </c>
      <c r="C142" t="s">
        <v>30</v>
      </c>
      <c r="D142" t="s">
        <v>17</v>
      </c>
      <c r="E142" t="s">
        <v>14</v>
      </c>
      <c r="F142" t="s">
        <v>15</v>
      </c>
      <c r="G142">
        <v>8</v>
      </c>
      <c r="H142">
        <v>1500</v>
      </c>
      <c r="I142">
        <v>10</v>
      </c>
      <c r="J142">
        <v>10800</v>
      </c>
      <c r="K142">
        <v>2689.29</v>
      </c>
    </row>
    <row r="143" spans="1:11" x14ac:dyDescent="0.25">
      <c r="A143">
        <v>1142</v>
      </c>
      <c r="B143" t="s">
        <v>158</v>
      </c>
      <c r="C143" t="s">
        <v>47</v>
      </c>
      <c r="D143" t="s">
        <v>22</v>
      </c>
      <c r="E143" t="s">
        <v>34</v>
      </c>
      <c r="F143" t="s">
        <v>24</v>
      </c>
      <c r="G143">
        <v>6</v>
      </c>
      <c r="H143">
        <v>55000</v>
      </c>
      <c r="I143">
        <v>15</v>
      </c>
      <c r="J143">
        <v>280500</v>
      </c>
      <c r="K143">
        <v>65095.09</v>
      </c>
    </row>
    <row r="144" spans="1:11" x14ac:dyDescent="0.25">
      <c r="A144">
        <v>1143</v>
      </c>
      <c r="B144" t="s">
        <v>159</v>
      </c>
      <c r="C144" t="s">
        <v>32</v>
      </c>
      <c r="D144" t="s">
        <v>27</v>
      </c>
      <c r="E144" t="s">
        <v>28</v>
      </c>
      <c r="F144" t="s">
        <v>15</v>
      </c>
      <c r="G144">
        <v>9</v>
      </c>
      <c r="H144">
        <v>800</v>
      </c>
      <c r="I144">
        <v>15</v>
      </c>
      <c r="J144">
        <v>6120</v>
      </c>
      <c r="K144">
        <v>681.27</v>
      </c>
    </row>
    <row r="145" spans="1:11" x14ac:dyDescent="0.25">
      <c r="A145">
        <v>1144</v>
      </c>
      <c r="B145" t="s">
        <v>74</v>
      </c>
      <c r="C145" t="s">
        <v>26</v>
      </c>
      <c r="D145" t="s">
        <v>22</v>
      </c>
      <c r="E145" t="s">
        <v>18</v>
      </c>
      <c r="F145" t="s">
        <v>19</v>
      </c>
      <c r="G145">
        <v>4</v>
      </c>
      <c r="H145">
        <v>7000</v>
      </c>
      <c r="I145">
        <v>20</v>
      </c>
      <c r="J145">
        <v>22400</v>
      </c>
      <c r="K145">
        <v>4932.9399999999996</v>
      </c>
    </row>
    <row r="146" spans="1:11" x14ac:dyDescent="0.25">
      <c r="A146">
        <v>1145</v>
      </c>
      <c r="B146" t="s">
        <v>160</v>
      </c>
      <c r="C146" t="s">
        <v>39</v>
      </c>
      <c r="D146" t="s">
        <v>27</v>
      </c>
      <c r="E146" t="s">
        <v>23</v>
      </c>
      <c r="F146" t="s">
        <v>24</v>
      </c>
      <c r="G146">
        <v>4</v>
      </c>
      <c r="H146">
        <v>12000</v>
      </c>
      <c r="I146">
        <v>15</v>
      </c>
      <c r="J146">
        <v>40800</v>
      </c>
      <c r="K146">
        <v>4744.3999999999996</v>
      </c>
    </row>
    <row r="147" spans="1:11" x14ac:dyDescent="0.25">
      <c r="A147">
        <v>1146</v>
      </c>
      <c r="B147" t="s">
        <v>161</v>
      </c>
      <c r="C147" t="s">
        <v>30</v>
      </c>
      <c r="D147" t="s">
        <v>17</v>
      </c>
      <c r="E147" t="s">
        <v>23</v>
      </c>
      <c r="F147" t="s">
        <v>24</v>
      </c>
      <c r="G147">
        <v>8</v>
      </c>
      <c r="H147">
        <v>12000</v>
      </c>
      <c r="I147">
        <v>10</v>
      </c>
      <c r="J147">
        <v>86400</v>
      </c>
      <c r="K147">
        <v>12484.95</v>
      </c>
    </row>
    <row r="148" spans="1:11" x14ac:dyDescent="0.25">
      <c r="A148">
        <v>1147</v>
      </c>
      <c r="B148" t="s">
        <v>162</v>
      </c>
      <c r="C148" t="s">
        <v>32</v>
      </c>
      <c r="D148" t="s">
        <v>22</v>
      </c>
      <c r="E148" t="s">
        <v>23</v>
      </c>
      <c r="F148" t="s">
        <v>24</v>
      </c>
      <c r="G148">
        <v>4</v>
      </c>
      <c r="H148">
        <v>12000</v>
      </c>
      <c r="I148">
        <v>0</v>
      </c>
      <c r="J148">
        <v>48000</v>
      </c>
      <c r="K148">
        <v>6538.42</v>
      </c>
    </row>
    <row r="149" spans="1:11" x14ac:dyDescent="0.25">
      <c r="A149">
        <v>1148</v>
      </c>
      <c r="B149" t="s">
        <v>163</v>
      </c>
      <c r="C149" t="s">
        <v>32</v>
      </c>
      <c r="D149" t="s">
        <v>13</v>
      </c>
      <c r="E149" t="s">
        <v>18</v>
      </c>
      <c r="F149" t="s">
        <v>19</v>
      </c>
      <c r="G149">
        <v>3</v>
      </c>
      <c r="H149">
        <v>7000</v>
      </c>
      <c r="I149">
        <v>0</v>
      </c>
      <c r="J149">
        <v>21000</v>
      </c>
      <c r="K149">
        <v>4252.91</v>
      </c>
    </row>
    <row r="150" spans="1:11" x14ac:dyDescent="0.25">
      <c r="A150">
        <v>1149</v>
      </c>
      <c r="B150" t="s">
        <v>164</v>
      </c>
      <c r="C150" t="s">
        <v>12</v>
      </c>
      <c r="D150" t="s">
        <v>22</v>
      </c>
      <c r="E150" t="s">
        <v>34</v>
      </c>
      <c r="F150" t="s">
        <v>24</v>
      </c>
      <c r="G150">
        <v>3</v>
      </c>
      <c r="H150">
        <v>55000</v>
      </c>
      <c r="I150">
        <v>10</v>
      </c>
      <c r="J150">
        <v>148500</v>
      </c>
      <c r="K150">
        <v>12177.11</v>
      </c>
    </row>
    <row r="151" spans="1:11" x14ac:dyDescent="0.25">
      <c r="A151">
        <v>1150</v>
      </c>
      <c r="B151" t="s">
        <v>101</v>
      </c>
      <c r="C151" t="s">
        <v>39</v>
      </c>
      <c r="D151" t="s">
        <v>17</v>
      </c>
      <c r="E151" t="s">
        <v>18</v>
      </c>
      <c r="F151" t="s">
        <v>19</v>
      </c>
      <c r="G151">
        <v>7</v>
      </c>
      <c r="H151">
        <v>7000</v>
      </c>
      <c r="I151">
        <v>5</v>
      </c>
      <c r="J151">
        <v>46550</v>
      </c>
      <c r="K151">
        <v>3741.3</v>
      </c>
    </row>
    <row r="152" spans="1:11" x14ac:dyDescent="0.25">
      <c r="A152">
        <v>1151</v>
      </c>
      <c r="B152" t="s">
        <v>165</v>
      </c>
      <c r="C152" t="s">
        <v>45</v>
      </c>
      <c r="D152" t="s">
        <v>13</v>
      </c>
      <c r="E152" t="s">
        <v>28</v>
      </c>
      <c r="F152" t="s">
        <v>15</v>
      </c>
      <c r="G152">
        <v>2</v>
      </c>
      <c r="H152">
        <v>800</v>
      </c>
      <c r="I152">
        <v>15</v>
      </c>
      <c r="J152">
        <v>1360</v>
      </c>
      <c r="K152">
        <v>189.32</v>
      </c>
    </row>
    <row r="153" spans="1:11" x14ac:dyDescent="0.25">
      <c r="A153">
        <v>1152</v>
      </c>
      <c r="B153" t="s">
        <v>139</v>
      </c>
      <c r="C153" t="s">
        <v>45</v>
      </c>
      <c r="D153" t="s">
        <v>22</v>
      </c>
      <c r="E153" t="s">
        <v>18</v>
      </c>
      <c r="F153" t="s">
        <v>19</v>
      </c>
      <c r="G153">
        <v>7</v>
      </c>
      <c r="H153">
        <v>7000</v>
      </c>
      <c r="I153">
        <v>20</v>
      </c>
      <c r="J153">
        <v>39200</v>
      </c>
      <c r="K153">
        <v>4728.32</v>
      </c>
    </row>
    <row r="154" spans="1:11" x14ac:dyDescent="0.25">
      <c r="A154">
        <v>1153</v>
      </c>
      <c r="B154" t="s">
        <v>166</v>
      </c>
      <c r="C154" t="s">
        <v>36</v>
      </c>
      <c r="D154" t="s">
        <v>22</v>
      </c>
      <c r="E154" t="s">
        <v>14</v>
      </c>
      <c r="F154" t="s">
        <v>15</v>
      </c>
      <c r="G154">
        <v>6</v>
      </c>
      <c r="H154">
        <v>1500</v>
      </c>
      <c r="I154">
        <v>10</v>
      </c>
      <c r="J154">
        <v>8100</v>
      </c>
      <c r="K154">
        <v>1000</v>
      </c>
    </row>
    <row r="155" spans="1:11" x14ac:dyDescent="0.25">
      <c r="A155">
        <v>1154</v>
      </c>
      <c r="B155" t="s">
        <v>167</v>
      </c>
      <c r="C155" t="s">
        <v>39</v>
      </c>
      <c r="D155" t="s">
        <v>27</v>
      </c>
      <c r="E155" t="s">
        <v>28</v>
      </c>
      <c r="F155" t="s">
        <v>15</v>
      </c>
      <c r="G155">
        <v>7</v>
      </c>
      <c r="H155">
        <v>800</v>
      </c>
      <c r="I155">
        <v>5</v>
      </c>
      <c r="J155">
        <v>5320</v>
      </c>
      <c r="K155">
        <v>707.51</v>
      </c>
    </row>
    <row r="156" spans="1:11" x14ac:dyDescent="0.25">
      <c r="A156">
        <v>1155</v>
      </c>
      <c r="B156" t="s">
        <v>89</v>
      </c>
      <c r="C156" t="s">
        <v>39</v>
      </c>
      <c r="D156" t="s">
        <v>17</v>
      </c>
      <c r="E156" t="s">
        <v>43</v>
      </c>
      <c r="F156" t="s">
        <v>24</v>
      </c>
      <c r="G156">
        <v>3</v>
      </c>
      <c r="H156">
        <v>9000</v>
      </c>
      <c r="I156">
        <v>0</v>
      </c>
      <c r="J156">
        <v>27000</v>
      </c>
      <c r="K156">
        <v>4119.68</v>
      </c>
    </row>
    <row r="157" spans="1:11" x14ac:dyDescent="0.25">
      <c r="A157">
        <v>1156</v>
      </c>
      <c r="B157" t="s">
        <v>111</v>
      </c>
      <c r="C157" t="s">
        <v>26</v>
      </c>
      <c r="D157" t="s">
        <v>17</v>
      </c>
      <c r="E157" t="s">
        <v>18</v>
      </c>
      <c r="F157" t="s">
        <v>19</v>
      </c>
      <c r="G157">
        <v>9</v>
      </c>
      <c r="H157">
        <v>7000</v>
      </c>
      <c r="I157">
        <v>0</v>
      </c>
      <c r="J157">
        <v>63000</v>
      </c>
      <c r="K157">
        <v>12090.3</v>
      </c>
    </row>
    <row r="158" spans="1:11" x14ac:dyDescent="0.25">
      <c r="A158">
        <v>1157</v>
      </c>
      <c r="B158" t="s">
        <v>168</v>
      </c>
      <c r="C158" t="s">
        <v>36</v>
      </c>
      <c r="D158" t="s">
        <v>22</v>
      </c>
      <c r="E158" t="s">
        <v>14</v>
      </c>
      <c r="F158" t="s">
        <v>15</v>
      </c>
      <c r="G158">
        <v>8</v>
      </c>
      <c r="H158">
        <v>1500</v>
      </c>
      <c r="I158">
        <v>0</v>
      </c>
      <c r="J158">
        <v>12000</v>
      </c>
      <c r="K158">
        <v>1340.74</v>
      </c>
    </row>
    <row r="159" spans="1:11" x14ac:dyDescent="0.25">
      <c r="A159">
        <v>1158</v>
      </c>
      <c r="B159" t="s">
        <v>169</v>
      </c>
      <c r="C159" t="s">
        <v>47</v>
      </c>
      <c r="D159" t="s">
        <v>27</v>
      </c>
      <c r="E159" t="s">
        <v>34</v>
      </c>
      <c r="F159" t="s">
        <v>24</v>
      </c>
      <c r="G159">
        <v>8</v>
      </c>
      <c r="H159">
        <v>55000</v>
      </c>
      <c r="I159">
        <v>15</v>
      </c>
      <c r="J159">
        <v>374000</v>
      </c>
      <c r="K159">
        <v>32002.799999999999</v>
      </c>
    </row>
    <row r="160" spans="1:11" x14ac:dyDescent="0.25">
      <c r="A160">
        <v>1159</v>
      </c>
      <c r="B160" t="s">
        <v>136</v>
      </c>
      <c r="C160" t="s">
        <v>21</v>
      </c>
      <c r="D160" t="s">
        <v>17</v>
      </c>
      <c r="E160" t="s">
        <v>43</v>
      </c>
      <c r="F160" t="s">
        <v>24</v>
      </c>
      <c r="G160">
        <v>8</v>
      </c>
      <c r="H160">
        <v>9000</v>
      </c>
      <c r="I160">
        <v>0</v>
      </c>
      <c r="J160">
        <v>72000</v>
      </c>
      <c r="K160">
        <v>16897.080000000002</v>
      </c>
    </row>
    <row r="161" spans="1:11" x14ac:dyDescent="0.25">
      <c r="A161">
        <v>1160</v>
      </c>
      <c r="B161" t="s">
        <v>170</v>
      </c>
      <c r="C161" t="s">
        <v>41</v>
      </c>
      <c r="D161" t="s">
        <v>13</v>
      </c>
      <c r="E161" t="s">
        <v>43</v>
      </c>
      <c r="F161" t="s">
        <v>24</v>
      </c>
      <c r="G161">
        <v>8</v>
      </c>
      <c r="H161">
        <v>9000</v>
      </c>
      <c r="I161">
        <v>15</v>
      </c>
      <c r="J161">
        <v>61200</v>
      </c>
      <c r="K161">
        <v>7833.21</v>
      </c>
    </row>
    <row r="162" spans="1:11" x14ac:dyDescent="0.25">
      <c r="A162">
        <v>1161</v>
      </c>
      <c r="B162" t="s">
        <v>171</v>
      </c>
      <c r="C162" t="s">
        <v>26</v>
      </c>
      <c r="D162" t="s">
        <v>13</v>
      </c>
      <c r="E162" t="s">
        <v>18</v>
      </c>
      <c r="F162" t="s">
        <v>19</v>
      </c>
      <c r="G162">
        <v>8</v>
      </c>
      <c r="H162">
        <v>7000</v>
      </c>
      <c r="I162">
        <v>20</v>
      </c>
      <c r="J162">
        <v>44800</v>
      </c>
      <c r="K162">
        <v>5351.27</v>
      </c>
    </row>
    <row r="163" spans="1:11" x14ac:dyDescent="0.25">
      <c r="A163">
        <v>1162</v>
      </c>
      <c r="B163" t="s">
        <v>98</v>
      </c>
      <c r="C163" t="s">
        <v>45</v>
      </c>
      <c r="D163" t="s">
        <v>27</v>
      </c>
      <c r="E163" t="s">
        <v>23</v>
      </c>
      <c r="F163" t="s">
        <v>24</v>
      </c>
      <c r="G163">
        <v>10</v>
      </c>
      <c r="H163">
        <v>12000</v>
      </c>
      <c r="I163">
        <v>0</v>
      </c>
      <c r="J163">
        <v>120000</v>
      </c>
      <c r="K163">
        <v>25916.29</v>
      </c>
    </row>
    <row r="164" spans="1:11" x14ac:dyDescent="0.25">
      <c r="A164">
        <v>1163</v>
      </c>
      <c r="B164" t="s">
        <v>172</v>
      </c>
      <c r="C164" t="s">
        <v>30</v>
      </c>
      <c r="D164" t="s">
        <v>27</v>
      </c>
      <c r="E164" t="s">
        <v>23</v>
      </c>
      <c r="F164" t="s">
        <v>24</v>
      </c>
      <c r="G164">
        <v>5</v>
      </c>
      <c r="H164">
        <v>12000</v>
      </c>
      <c r="I164">
        <v>20</v>
      </c>
      <c r="J164">
        <v>48000</v>
      </c>
      <c r="K164">
        <v>9711.08</v>
      </c>
    </row>
    <row r="165" spans="1:11" x14ac:dyDescent="0.25">
      <c r="A165">
        <v>1164</v>
      </c>
      <c r="B165" t="s">
        <v>109</v>
      </c>
      <c r="C165" t="s">
        <v>39</v>
      </c>
      <c r="D165" t="s">
        <v>27</v>
      </c>
      <c r="E165" t="s">
        <v>23</v>
      </c>
      <c r="F165" t="s">
        <v>24</v>
      </c>
      <c r="G165">
        <v>3</v>
      </c>
      <c r="H165">
        <v>12000</v>
      </c>
      <c r="I165">
        <v>15</v>
      </c>
      <c r="J165">
        <v>30600</v>
      </c>
      <c r="K165">
        <v>3706.45</v>
      </c>
    </row>
    <row r="166" spans="1:11" x14ac:dyDescent="0.25">
      <c r="A166">
        <v>1165</v>
      </c>
      <c r="B166" t="s">
        <v>85</v>
      </c>
      <c r="C166" t="s">
        <v>39</v>
      </c>
      <c r="D166" t="s">
        <v>27</v>
      </c>
      <c r="E166" t="s">
        <v>34</v>
      </c>
      <c r="F166" t="s">
        <v>24</v>
      </c>
      <c r="G166">
        <v>9</v>
      </c>
      <c r="H166">
        <v>55000</v>
      </c>
      <c r="I166">
        <v>15</v>
      </c>
      <c r="J166">
        <v>420750</v>
      </c>
      <c r="K166">
        <v>65768.83</v>
      </c>
    </row>
    <row r="167" spans="1:11" x14ac:dyDescent="0.25">
      <c r="A167">
        <v>1166</v>
      </c>
      <c r="B167" t="s">
        <v>173</v>
      </c>
      <c r="C167" t="s">
        <v>30</v>
      </c>
      <c r="D167" t="s">
        <v>13</v>
      </c>
      <c r="E167" t="s">
        <v>23</v>
      </c>
      <c r="F167" t="s">
        <v>24</v>
      </c>
      <c r="G167">
        <v>4</v>
      </c>
      <c r="H167">
        <v>12000</v>
      </c>
      <c r="I167">
        <v>20</v>
      </c>
      <c r="J167">
        <v>38400</v>
      </c>
      <c r="K167">
        <v>6267.6</v>
      </c>
    </row>
    <row r="168" spans="1:11" x14ac:dyDescent="0.25">
      <c r="A168">
        <v>1167</v>
      </c>
      <c r="B168" t="s">
        <v>20</v>
      </c>
      <c r="C168" t="s">
        <v>12</v>
      </c>
      <c r="D168" t="s">
        <v>27</v>
      </c>
      <c r="E168" t="s">
        <v>14</v>
      </c>
      <c r="F168" t="s">
        <v>15</v>
      </c>
      <c r="G168">
        <v>8</v>
      </c>
      <c r="H168">
        <v>1500</v>
      </c>
      <c r="I168">
        <v>10</v>
      </c>
      <c r="J168">
        <v>10800</v>
      </c>
      <c r="K168">
        <v>2421.15</v>
      </c>
    </row>
    <row r="169" spans="1:11" x14ac:dyDescent="0.25">
      <c r="A169">
        <v>1168</v>
      </c>
      <c r="B169" t="s">
        <v>174</v>
      </c>
      <c r="C169" t="s">
        <v>47</v>
      </c>
      <c r="D169" t="s">
        <v>27</v>
      </c>
      <c r="E169" t="s">
        <v>14</v>
      </c>
      <c r="F169" t="s">
        <v>15</v>
      </c>
      <c r="G169">
        <v>6</v>
      </c>
      <c r="H169">
        <v>1500</v>
      </c>
      <c r="I169">
        <v>15</v>
      </c>
      <c r="J169">
        <v>7650</v>
      </c>
      <c r="K169">
        <v>1907.01</v>
      </c>
    </row>
    <row r="170" spans="1:11" x14ac:dyDescent="0.25">
      <c r="A170">
        <v>1169</v>
      </c>
      <c r="B170" t="s">
        <v>175</v>
      </c>
      <c r="C170" t="s">
        <v>45</v>
      </c>
      <c r="D170" t="s">
        <v>17</v>
      </c>
      <c r="E170" t="s">
        <v>14</v>
      </c>
      <c r="F170" t="s">
        <v>15</v>
      </c>
      <c r="G170">
        <v>10</v>
      </c>
      <c r="H170">
        <v>1500</v>
      </c>
      <c r="I170">
        <v>20</v>
      </c>
      <c r="J170">
        <v>12000</v>
      </c>
      <c r="K170">
        <v>1687.61</v>
      </c>
    </row>
    <row r="171" spans="1:11" x14ac:dyDescent="0.25">
      <c r="A171">
        <v>1170</v>
      </c>
      <c r="B171" t="s">
        <v>176</v>
      </c>
      <c r="C171" t="s">
        <v>47</v>
      </c>
      <c r="D171" t="s">
        <v>13</v>
      </c>
      <c r="E171" t="s">
        <v>18</v>
      </c>
      <c r="F171" t="s">
        <v>19</v>
      </c>
      <c r="G171">
        <v>5</v>
      </c>
      <c r="H171">
        <v>7000</v>
      </c>
      <c r="I171">
        <v>10</v>
      </c>
      <c r="J171">
        <v>31500</v>
      </c>
      <c r="K171">
        <v>7147.12</v>
      </c>
    </row>
    <row r="172" spans="1:11" x14ac:dyDescent="0.25">
      <c r="A172">
        <v>1171</v>
      </c>
      <c r="B172" t="s">
        <v>74</v>
      </c>
      <c r="C172" t="s">
        <v>39</v>
      </c>
      <c r="D172" t="s">
        <v>17</v>
      </c>
      <c r="E172" t="s">
        <v>23</v>
      </c>
      <c r="F172" t="s">
        <v>24</v>
      </c>
      <c r="G172">
        <v>5</v>
      </c>
      <c r="H172">
        <v>12000</v>
      </c>
      <c r="I172">
        <v>20</v>
      </c>
      <c r="J172">
        <v>48000</v>
      </c>
      <c r="K172">
        <v>8957.74</v>
      </c>
    </row>
    <row r="173" spans="1:11" x14ac:dyDescent="0.25">
      <c r="A173">
        <v>1172</v>
      </c>
      <c r="B173" t="s">
        <v>177</v>
      </c>
      <c r="C173" t="s">
        <v>21</v>
      </c>
      <c r="D173" t="s">
        <v>13</v>
      </c>
      <c r="E173" t="s">
        <v>28</v>
      </c>
      <c r="F173" t="s">
        <v>15</v>
      </c>
      <c r="G173">
        <v>9</v>
      </c>
      <c r="H173">
        <v>800</v>
      </c>
      <c r="I173">
        <v>0</v>
      </c>
      <c r="J173">
        <v>7200</v>
      </c>
      <c r="K173">
        <v>1358.79</v>
      </c>
    </row>
    <row r="174" spans="1:11" x14ac:dyDescent="0.25">
      <c r="A174">
        <v>1173</v>
      </c>
      <c r="B174" t="s">
        <v>178</v>
      </c>
      <c r="C174" t="s">
        <v>36</v>
      </c>
      <c r="D174" t="s">
        <v>22</v>
      </c>
      <c r="E174" t="s">
        <v>43</v>
      </c>
      <c r="F174" t="s">
        <v>24</v>
      </c>
      <c r="G174">
        <v>3</v>
      </c>
      <c r="H174">
        <v>9000</v>
      </c>
      <c r="I174">
        <v>20</v>
      </c>
      <c r="J174">
        <v>21600</v>
      </c>
      <c r="K174">
        <v>2122.4299999999998</v>
      </c>
    </row>
    <row r="175" spans="1:11" x14ac:dyDescent="0.25">
      <c r="A175">
        <v>1174</v>
      </c>
      <c r="B175" t="s">
        <v>179</v>
      </c>
      <c r="C175" t="s">
        <v>39</v>
      </c>
      <c r="D175" t="s">
        <v>13</v>
      </c>
      <c r="E175" t="s">
        <v>18</v>
      </c>
      <c r="F175" t="s">
        <v>19</v>
      </c>
      <c r="G175">
        <v>8</v>
      </c>
      <c r="H175">
        <v>7000</v>
      </c>
      <c r="I175">
        <v>20</v>
      </c>
      <c r="J175">
        <v>44800</v>
      </c>
      <c r="K175">
        <v>8062.14</v>
      </c>
    </row>
    <row r="176" spans="1:11" x14ac:dyDescent="0.25">
      <c r="A176">
        <v>1175</v>
      </c>
      <c r="B176" t="s">
        <v>180</v>
      </c>
      <c r="C176" t="s">
        <v>47</v>
      </c>
      <c r="D176" t="s">
        <v>22</v>
      </c>
      <c r="E176" t="s">
        <v>14</v>
      </c>
      <c r="F176" t="s">
        <v>15</v>
      </c>
      <c r="G176">
        <v>6</v>
      </c>
      <c r="H176">
        <v>1500</v>
      </c>
      <c r="I176">
        <v>5</v>
      </c>
      <c r="J176">
        <v>8550</v>
      </c>
      <c r="K176">
        <v>1722.47</v>
      </c>
    </row>
    <row r="177" spans="1:11" x14ac:dyDescent="0.25">
      <c r="A177">
        <v>1176</v>
      </c>
      <c r="B177" t="s">
        <v>181</v>
      </c>
      <c r="C177" t="s">
        <v>36</v>
      </c>
      <c r="D177" t="s">
        <v>17</v>
      </c>
      <c r="E177" t="s">
        <v>14</v>
      </c>
      <c r="F177" t="s">
        <v>15</v>
      </c>
      <c r="G177">
        <v>4</v>
      </c>
      <c r="H177">
        <v>1500</v>
      </c>
      <c r="I177">
        <v>5</v>
      </c>
      <c r="J177">
        <v>5700</v>
      </c>
      <c r="K177">
        <v>1143.96</v>
      </c>
    </row>
    <row r="178" spans="1:11" x14ac:dyDescent="0.25">
      <c r="A178">
        <v>1177</v>
      </c>
      <c r="B178" t="s">
        <v>182</v>
      </c>
      <c r="C178" t="s">
        <v>21</v>
      </c>
      <c r="D178" t="s">
        <v>22</v>
      </c>
      <c r="E178" t="s">
        <v>28</v>
      </c>
      <c r="F178" t="s">
        <v>15</v>
      </c>
      <c r="G178">
        <v>6</v>
      </c>
      <c r="H178">
        <v>800</v>
      </c>
      <c r="I178">
        <v>20</v>
      </c>
      <c r="J178">
        <v>3840</v>
      </c>
      <c r="K178">
        <v>378.03</v>
      </c>
    </row>
    <row r="179" spans="1:11" x14ac:dyDescent="0.25">
      <c r="A179">
        <v>1178</v>
      </c>
      <c r="B179" t="s">
        <v>183</v>
      </c>
      <c r="C179" t="s">
        <v>45</v>
      </c>
      <c r="D179" t="s">
        <v>27</v>
      </c>
      <c r="E179" t="s">
        <v>34</v>
      </c>
      <c r="F179" t="s">
        <v>24</v>
      </c>
      <c r="G179">
        <v>7</v>
      </c>
      <c r="H179">
        <v>55000</v>
      </c>
      <c r="I179">
        <v>5</v>
      </c>
      <c r="J179">
        <v>365750</v>
      </c>
      <c r="K179">
        <v>43026.83</v>
      </c>
    </row>
    <row r="180" spans="1:11" x14ac:dyDescent="0.25">
      <c r="A180">
        <v>1179</v>
      </c>
      <c r="B180" t="s">
        <v>184</v>
      </c>
      <c r="C180" t="s">
        <v>39</v>
      </c>
      <c r="D180" t="s">
        <v>13</v>
      </c>
      <c r="E180" t="s">
        <v>23</v>
      </c>
      <c r="F180" t="s">
        <v>24</v>
      </c>
      <c r="G180">
        <v>5</v>
      </c>
      <c r="H180">
        <v>12000</v>
      </c>
      <c r="I180">
        <v>0</v>
      </c>
      <c r="J180">
        <v>60000</v>
      </c>
      <c r="K180">
        <v>14927.09</v>
      </c>
    </row>
    <row r="181" spans="1:11" x14ac:dyDescent="0.25">
      <c r="A181">
        <v>1180</v>
      </c>
      <c r="B181" t="s">
        <v>185</v>
      </c>
      <c r="C181" t="s">
        <v>45</v>
      </c>
      <c r="D181" t="s">
        <v>22</v>
      </c>
      <c r="E181" t="s">
        <v>28</v>
      </c>
      <c r="F181" t="s">
        <v>15</v>
      </c>
      <c r="G181">
        <v>2</v>
      </c>
      <c r="H181">
        <v>800</v>
      </c>
      <c r="I181">
        <v>5</v>
      </c>
      <c r="J181">
        <v>1520</v>
      </c>
      <c r="K181">
        <v>250.37</v>
      </c>
    </row>
    <row r="182" spans="1:11" x14ac:dyDescent="0.25">
      <c r="A182">
        <v>1181</v>
      </c>
      <c r="B182" t="s">
        <v>153</v>
      </c>
      <c r="C182" t="s">
        <v>45</v>
      </c>
      <c r="D182" t="s">
        <v>22</v>
      </c>
      <c r="E182" t="s">
        <v>23</v>
      </c>
      <c r="F182" t="s">
        <v>24</v>
      </c>
      <c r="G182">
        <v>7</v>
      </c>
      <c r="H182">
        <v>12000</v>
      </c>
      <c r="I182">
        <v>10</v>
      </c>
      <c r="J182">
        <v>75600</v>
      </c>
      <c r="K182">
        <v>15976.93</v>
      </c>
    </row>
    <row r="183" spans="1:11" x14ac:dyDescent="0.25">
      <c r="A183">
        <v>1182</v>
      </c>
      <c r="B183" t="s">
        <v>186</v>
      </c>
      <c r="C183" t="s">
        <v>39</v>
      </c>
      <c r="D183" t="s">
        <v>22</v>
      </c>
      <c r="E183" t="s">
        <v>28</v>
      </c>
      <c r="F183" t="s">
        <v>15</v>
      </c>
      <c r="G183">
        <v>2</v>
      </c>
      <c r="H183">
        <v>800</v>
      </c>
      <c r="I183">
        <v>15</v>
      </c>
      <c r="J183">
        <v>1360</v>
      </c>
      <c r="K183">
        <v>160.34</v>
      </c>
    </row>
    <row r="184" spans="1:11" x14ac:dyDescent="0.25">
      <c r="A184">
        <v>1183</v>
      </c>
      <c r="B184" t="s">
        <v>111</v>
      </c>
      <c r="C184" t="s">
        <v>30</v>
      </c>
      <c r="D184" t="s">
        <v>13</v>
      </c>
      <c r="E184" t="s">
        <v>23</v>
      </c>
      <c r="F184" t="s">
        <v>24</v>
      </c>
      <c r="G184">
        <v>9</v>
      </c>
      <c r="H184">
        <v>12000</v>
      </c>
      <c r="I184">
        <v>0</v>
      </c>
      <c r="J184">
        <v>108000</v>
      </c>
      <c r="K184">
        <v>20309.740000000002</v>
      </c>
    </row>
    <row r="185" spans="1:11" x14ac:dyDescent="0.25">
      <c r="A185">
        <v>1184</v>
      </c>
      <c r="B185" t="s">
        <v>126</v>
      </c>
      <c r="C185" t="s">
        <v>39</v>
      </c>
      <c r="D185" t="s">
        <v>22</v>
      </c>
      <c r="E185" t="s">
        <v>14</v>
      </c>
      <c r="F185" t="s">
        <v>15</v>
      </c>
      <c r="G185">
        <v>2</v>
      </c>
      <c r="H185">
        <v>1500</v>
      </c>
      <c r="I185">
        <v>15</v>
      </c>
      <c r="J185">
        <v>2550</v>
      </c>
      <c r="K185">
        <v>546.95000000000005</v>
      </c>
    </row>
    <row r="186" spans="1:11" x14ac:dyDescent="0.25">
      <c r="A186">
        <v>1185</v>
      </c>
      <c r="B186" t="s">
        <v>187</v>
      </c>
      <c r="C186" t="s">
        <v>39</v>
      </c>
      <c r="D186" t="s">
        <v>13</v>
      </c>
      <c r="E186" t="s">
        <v>43</v>
      </c>
      <c r="F186" t="s">
        <v>24</v>
      </c>
      <c r="G186">
        <v>5</v>
      </c>
      <c r="H186">
        <v>9000</v>
      </c>
      <c r="I186">
        <v>15</v>
      </c>
      <c r="J186">
        <v>38250</v>
      </c>
      <c r="K186">
        <v>9082.36</v>
      </c>
    </row>
    <row r="187" spans="1:11" x14ac:dyDescent="0.25">
      <c r="A187">
        <v>1186</v>
      </c>
      <c r="B187" t="s">
        <v>188</v>
      </c>
      <c r="C187" t="s">
        <v>30</v>
      </c>
      <c r="D187" t="s">
        <v>17</v>
      </c>
      <c r="E187" t="s">
        <v>43</v>
      </c>
      <c r="F187" t="s">
        <v>24</v>
      </c>
      <c r="G187">
        <v>3</v>
      </c>
      <c r="H187">
        <v>9000</v>
      </c>
      <c r="I187">
        <v>20</v>
      </c>
      <c r="J187">
        <v>21600</v>
      </c>
      <c r="K187">
        <v>2276.41</v>
      </c>
    </row>
    <row r="188" spans="1:11" x14ac:dyDescent="0.25">
      <c r="A188">
        <v>1187</v>
      </c>
      <c r="B188" t="s">
        <v>189</v>
      </c>
      <c r="C188" t="s">
        <v>26</v>
      </c>
      <c r="D188" t="s">
        <v>27</v>
      </c>
      <c r="E188" t="s">
        <v>28</v>
      </c>
      <c r="F188" t="s">
        <v>15</v>
      </c>
      <c r="G188">
        <v>5</v>
      </c>
      <c r="H188">
        <v>800</v>
      </c>
      <c r="I188">
        <v>15</v>
      </c>
      <c r="J188">
        <v>3400</v>
      </c>
      <c r="K188">
        <v>374.11</v>
      </c>
    </row>
    <row r="189" spans="1:11" x14ac:dyDescent="0.25">
      <c r="A189">
        <v>1188</v>
      </c>
      <c r="B189" t="s">
        <v>190</v>
      </c>
      <c r="C189" t="s">
        <v>26</v>
      </c>
      <c r="D189" t="s">
        <v>27</v>
      </c>
      <c r="E189" t="s">
        <v>23</v>
      </c>
      <c r="F189" t="s">
        <v>24</v>
      </c>
      <c r="G189">
        <v>5</v>
      </c>
      <c r="H189">
        <v>12000</v>
      </c>
      <c r="I189">
        <v>0</v>
      </c>
      <c r="J189">
        <v>60000</v>
      </c>
      <c r="K189">
        <v>13676.39</v>
      </c>
    </row>
    <row r="190" spans="1:11" x14ac:dyDescent="0.25">
      <c r="A190">
        <v>1189</v>
      </c>
      <c r="B190" t="s">
        <v>111</v>
      </c>
      <c r="C190" t="s">
        <v>32</v>
      </c>
      <c r="D190" t="s">
        <v>13</v>
      </c>
      <c r="E190" t="s">
        <v>23</v>
      </c>
      <c r="F190" t="s">
        <v>24</v>
      </c>
      <c r="G190">
        <v>6</v>
      </c>
      <c r="H190">
        <v>12000</v>
      </c>
      <c r="I190">
        <v>5</v>
      </c>
      <c r="J190">
        <v>68400</v>
      </c>
      <c r="K190">
        <v>16470.27</v>
      </c>
    </row>
    <row r="191" spans="1:11" x14ac:dyDescent="0.25">
      <c r="A191">
        <v>1190</v>
      </c>
      <c r="B191" t="s">
        <v>191</v>
      </c>
      <c r="C191" t="s">
        <v>47</v>
      </c>
      <c r="D191" t="s">
        <v>17</v>
      </c>
      <c r="E191" t="s">
        <v>43</v>
      </c>
      <c r="F191" t="s">
        <v>24</v>
      </c>
      <c r="G191">
        <v>3</v>
      </c>
      <c r="H191">
        <v>9000</v>
      </c>
      <c r="I191">
        <v>10</v>
      </c>
      <c r="J191">
        <v>24300</v>
      </c>
      <c r="K191">
        <v>5353.83</v>
      </c>
    </row>
    <row r="192" spans="1:11" x14ac:dyDescent="0.25">
      <c r="A192">
        <v>1191</v>
      </c>
      <c r="B192" t="s">
        <v>138</v>
      </c>
      <c r="C192" t="s">
        <v>39</v>
      </c>
      <c r="D192" t="s">
        <v>27</v>
      </c>
      <c r="E192" t="s">
        <v>28</v>
      </c>
      <c r="F192" t="s">
        <v>15</v>
      </c>
      <c r="G192">
        <v>7</v>
      </c>
      <c r="H192">
        <v>800</v>
      </c>
      <c r="I192">
        <v>20</v>
      </c>
      <c r="J192">
        <v>4480</v>
      </c>
      <c r="K192">
        <v>502.86</v>
      </c>
    </row>
    <row r="193" spans="1:11" x14ac:dyDescent="0.25">
      <c r="A193">
        <v>1192</v>
      </c>
      <c r="B193" t="s">
        <v>192</v>
      </c>
      <c r="C193" t="s">
        <v>39</v>
      </c>
      <c r="D193" t="s">
        <v>27</v>
      </c>
      <c r="E193" t="s">
        <v>34</v>
      </c>
      <c r="F193" t="s">
        <v>24</v>
      </c>
      <c r="G193">
        <v>3</v>
      </c>
      <c r="H193">
        <v>55000</v>
      </c>
      <c r="I193">
        <v>5</v>
      </c>
      <c r="J193">
        <v>156750</v>
      </c>
      <c r="K193">
        <v>22150.720000000001</v>
      </c>
    </row>
    <row r="194" spans="1:11" x14ac:dyDescent="0.25">
      <c r="A194">
        <v>1193</v>
      </c>
      <c r="B194" t="s">
        <v>193</v>
      </c>
      <c r="C194" t="s">
        <v>32</v>
      </c>
      <c r="D194" t="s">
        <v>13</v>
      </c>
      <c r="E194" t="s">
        <v>23</v>
      </c>
      <c r="F194" t="s">
        <v>24</v>
      </c>
      <c r="G194">
        <v>1</v>
      </c>
      <c r="H194">
        <v>12000</v>
      </c>
      <c r="I194">
        <v>15</v>
      </c>
      <c r="J194">
        <v>10200</v>
      </c>
      <c r="K194">
        <v>1141.31</v>
      </c>
    </row>
    <row r="195" spans="1:11" x14ac:dyDescent="0.25">
      <c r="A195">
        <v>1194</v>
      </c>
      <c r="B195" t="s">
        <v>194</v>
      </c>
      <c r="C195" t="s">
        <v>41</v>
      </c>
      <c r="D195" t="s">
        <v>13</v>
      </c>
      <c r="E195" t="s">
        <v>18</v>
      </c>
      <c r="F195" t="s">
        <v>19</v>
      </c>
      <c r="G195">
        <v>1</v>
      </c>
      <c r="H195">
        <v>7000</v>
      </c>
      <c r="I195">
        <v>10</v>
      </c>
      <c r="J195">
        <v>6300</v>
      </c>
      <c r="K195">
        <v>1205.04</v>
      </c>
    </row>
    <row r="196" spans="1:11" x14ac:dyDescent="0.25">
      <c r="A196">
        <v>1195</v>
      </c>
      <c r="B196" t="s">
        <v>195</v>
      </c>
      <c r="C196" t="s">
        <v>39</v>
      </c>
      <c r="D196" t="s">
        <v>27</v>
      </c>
      <c r="E196" t="s">
        <v>14</v>
      </c>
      <c r="F196" t="s">
        <v>15</v>
      </c>
      <c r="G196">
        <v>3</v>
      </c>
      <c r="H196">
        <v>1500</v>
      </c>
      <c r="I196">
        <v>5</v>
      </c>
      <c r="J196">
        <v>4275</v>
      </c>
      <c r="K196">
        <v>765.86</v>
      </c>
    </row>
    <row r="197" spans="1:11" x14ac:dyDescent="0.25">
      <c r="A197">
        <v>1196</v>
      </c>
      <c r="B197" t="s">
        <v>196</v>
      </c>
      <c r="C197" t="s">
        <v>47</v>
      </c>
      <c r="D197" t="s">
        <v>17</v>
      </c>
      <c r="E197" t="s">
        <v>34</v>
      </c>
      <c r="F197" t="s">
        <v>24</v>
      </c>
      <c r="G197">
        <v>3</v>
      </c>
      <c r="H197">
        <v>55000</v>
      </c>
      <c r="I197">
        <v>10</v>
      </c>
      <c r="J197">
        <v>148500</v>
      </c>
      <c r="K197">
        <v>33402.120000000003</v>
      </c>
    </row>
    <row r="198" spans="1:11" x14ac:dyDescent="0.25">
      <c r="A198">
        <v>1197</v>
      </c>
      <c r="B198" t="s">
        <v>197</v>
      </c>
      <c r="C198" t="s">
        <v>39</v>
      </c>
      <c r="D198" t="s">
        <v>13</v>
      </c>
      <c r="E198" t="s">
        <v>43</v>
      </c>
      <c r="F198" t="s">
        <v>24</v>
      </c>
      <c r="G198">
        <v>5</v>
      </c>
      <c r="H198">
        <v>9000</v>
      </c>
      <c r="I198">
        <v>15</v>
      </c>
      <c r="J198">
        <v>38250</v>
      </c>
      <c r="K198">
        <v>6541.64</v>
      </c>
    </row>
    <row r="199" spans="1:11" x14ac:dyDescent="0.25">
      <c r="A199">
        <v>1198</v>
      </c>
      <c r="B199" t="s">
        <v>198</v>
      </c>
      <c r="C199" t="s">
        <v>39</v>
      </c>
      <c r="D199" t="s">
        <v>22</v>
      </c>
      <c r="E199" t="s">
        <v>28</v>
      </c>
      <c r="F199" t="s">
        <v>15</v>
      </c>
      <c r="G199">
        <v>8</v>
      </c>
      <c r="H199">
        <v>800</v>
      </c>
      <c r="I199">
        <v>15</v>
      </c>
      <c r="J199">
        <v>5440</v>
      </c>
      <c r="K199">
        <v>1260.24</v>
      </c>
    </row>
    <row r="200" spans="1:11" x14ac:dyDescent="0.25">
      <c r="A200">
        <v>1199</v>
      </c>
      <c r="B200" t="s">
        <v>99</v>
      </c>
      <c r="C200" t="s">
        <v>47</v>
      </c>
      <c r="D200" t="s">
        <v>27</v>
      </c>
      <c r="E200" t="s">
        <v>28</v>
      </c>
      <c r="F200" t="s">
        <v>15</v>
      </c>
      <c r="G200">
        <v>6</v>
      </c>
      <c r="H200">
        <v>800</v>
      </c>
      <c r="I200">
        <v>5</v>
      </c>
      <c r="J200">
        <v>4560</v>
      </c>
      <c r="K200">
        <v>453.54</v>
      </c>
    </row>
    <row r="201" spans="1:11" x14ac:dyDescent="0.25">
      <c r="A201">
        <v>1200</v>
      </c>
      <c r="B201" t="s">
        <v>199</v>
      </c>
      <c r="C201" t="s">
        <v>21</v>
      </c>
      <c r="D201" t="s">
        <v>22</v>
      </c>
      <c r="E201" t="s">
        <v>43</v>
      </c>
      <c r="F201" t="s">
        <v>24</v>
      </c>
      <c r="G201">
        <v>8</v>
      </c>
      <c r="H201">
        <v>9000</v>
      </c>
      <c r="I201">
        <v>5</v>
      </c>
      <c r="J201">
        <v>68400</v>
      </c>
      <c r="K201">
        <v>11186.78</v>
      </c>
    </row>
    <row r="202" spans="1:11" x14ac:dyDescent="0.25">
      <c r="A202">
        <v>1201</v>
      </c>
      <c r="B202" t="s">
        <v>69</v>
      </c>
      <c r="C202" t="s">
        <v>26</v>
      </c>
      <c r="D202" t="s">
        <v>22</v>
      </c>
      <c r="E202" t="s">
        <v>18</v>
      </c>
      <c r="F202" t="s">
        <v>19</v>
      </c>
      <c r="G202">
        <v>2</v>
      </c>
      <c r="H202">
        <v>7000</v>
      </c>
      <c r="I202">
        <v>20</v>
      </c>
      <c r="J202">
        <v>11200</v>
      </c>
      <c r="K202">
        <v>1250.5899999999999</v>
      </c>
    </row>
    <row r="203" spans="1:11" x14ac:dyDescent="0.25">
      <c r="A203">
        <v>1202</v>
      </c>
      <c r="B203" t="s">
        <v>200</v>
      </c>
      <c r="C203" t="s">
        <v>30</v>
      </c>
      <c r="D203" t="s">
        <v>27</v>
      </c>
      <c r="E203" t="s">
        <v>43</v>
      </c>
      <c r="F203" t="s">
        <v>24</v>
      </c>
      <c r="G203">
        <v>9</v>
      </c>
      <c r="H203">
        <v>9000</v>
      </c>
      <c r="I203">
        <v>10</v>
      </c>
      <c r="J203">
        <v>72900</v>
      </c>
      <c r="K203">
        <v>10607.48</v>
      </c>
    </row>
    <row r="204" spans="1:11" x14ac:dyDescent="0.25">
      <c r="A204">
        <v>1203</v>
      </c>
      <c r="B204" t="s">
        <v>201</v>
      </c>
      <c r="C204" t="s">
        <v>26</v>
      </c>
      <c r="D204" t="s">
        <v>17</v>
      </c>
      <c r="E204" t="s">
        <v>28</v>
      </c>
      <c r="F204" t="s">
        <v>15</v>
      </c>
      <c r="G204">
        <v>10</v>
      </c>
      <c r="H204">
        <v>800</v>
      </c>
      <c r="I204">
        <v>0</v>
      </c>
      <c r="J204">
        <v>8000</v>
      </c>
      <c r="K204">
        <v>1851.52</v>
      </c>
    </row>
    <row r="205" spans="1:11" x14ac:dyDescent="0.25">
      <c r="A205">
        <v>1204</v>
      </c>
      <c r="B205" t="s">
        <v>174</v>
      </c>
      <c r="C205" t="s">
        <v>41</v>
      </c>
      <c r="D205" t="s">
        <v>17</v>
      </c>
      <c r="E205" t="s">
        <v>14</v>
      </c>
      <c r="F205" t="s">
        <v>15</v>
      </c>
      <c r="G205">
        <v>1</v>
      </c>
      <c r="H205">
        <v>1500</v>
      </c>
      <c r="I205">
        <v>5</v>
      </c>
      <c r="J205">
        <v>1425</v>
      </c>
      <c r="K205">
        <v>188.92</v>
      </c>
    </row>
    <row r="206" spans="1:11" x14ac:dyDescent="0.25">
      <c r="A206">
        <v>1205</v>
      </c>
      <c r="B206" t="s">
        <v>202</v>
      </c>
      <c r="C206" t="s">
        <v>45</v>
      </c>
      <c r="D206" t="s">
        <v>27</v>
      </c>
      <c r="E206" t="s">
        <v>28</v>
      </c>
      <c r="F206" t="s">
        <v>15</v>
      </c>
      <c r="G206">
        <v>4</v>
      </c>
      <c r="H206">
        <v>800</v>
      </c>
      <c r="I206">
        <v>5</v>
      </c>
      <c r="J206">
        <v>3040</v>
      </c>
      <c r="K206">
        <v>357.93</v>
      </c>
    </row>
    <row r="207" spans="1:11" x14ac:dyDescent="0.25">
      <c r="A207">
        <v>1206</v>
      </c>
      <c r="B207" t="s">
        <v>88</v>
      </c>
      <c r="C207" t="s">
        <v>47</v>
      </c>
      <c r="D207" t="s">
        <v>27</v>
      </c>
      <c r="E207" t="s">
        <v>34</v>
      </c>
      <c r="F207" t="s">
        <v>24</v>
      </c>
      <c r="G207">
        <v>1</v>
      </c>
      <c r="H207">
        <v>55000</v>
      </c>
      <c r="I207">
        <v>20</v>
      </c>
      <c r="J207">
        <v>44000</v>
      </c>
      <c r="K207">
        <v>3930.28</v>
      </c>
    </row>
    <row r="208" spans="1:11" x14ac:dyDescent="0.25">
      <c r="A208">
        <v>1207</v>
      </c>
      <c r="B208" t="s">
        <v>25</v>
      </c>
      <c r="C208" t="s">
        <v>12</v>
      </c>
      <c r="D208" t="s">
        <v>13</v>
      </c>
      <c r="E208" t="s">
        <v>43</v>
      </c>
      <c r="F208" t="s">
        <v>24</v>
      </c>
      <c r="G208">
        <v>2</v>
      </c>
      <c r="H208">
        <v>9000</v>
      </c>
      <c r="I208">
        <v>15</v>
      </c>
      <c r="J208">
        <v>15300</v>
      </c>
      <c r="K208">
        <v>1841.95</v>
      </c>
    </row>
    <row r="209" spans="1:11" x14ac:dyDescent="0.25">
      <c r="A209">
        <v>1208</v>
      </c>
      <c r="B209" t="s">
        <v>203</v>
      </c>
      <c r="C209" t="s">
        <v>30</v>
      </c>
      <c r="D209" t="s">
        <v>27</v>
      </c>
      <c r="E209" t="s">
        <v>23</v>
      </c>
      <c r="F209" t="s">
        <v>24</v>
      </c>
      <c r="G209">
        <v>6</v>
      </c>
      <c r="H209">
        <v>12000</v>
      </c>
      <c r="I209">
        <v>0</v>
      </c>
      <c r="J209">
        <v>72000</v>
      </c>
      <c r="K209">
        <v>16617.38</v>
      </c>
    </row>
    <row r="210" spans="1:11" x14ac:dyDescent="0.25">
      <c r="A210">
        <v>1209</v>
      </c>
      <c r="B210" t="s">
        <v>204</v>
      </c>
      <c r="C210" t="s">
        <v>36</v>
      </c>
      <c r="D210" t="s">
        <v>13</v>
      </c>
      <c r="E210" t="s">
        <v>23</v>
      </c>
      <c r="F210" t="s">
        <v>24</v>
      </c>
      <c r="G210">
        <v>2</v>
      </c>
      <c r="H210">
        <v>12000</v>
      </c>
      <c r="I210">
        <v>20</v>
      </c>
      <c r="J210">
        <v>19200</v>
      </c>
      <c r="K210">
        <v>4011.16</v>
      </c>
    </row>
    <row r="211" spans="1:11" x14ac:dyDescent="0.25">
      <c r="A211">
        <v>1210</v>
      </c>
      <c r="B211" t="s">
        <v>205</v>
      </c>
      <c r="C211" t="s">
        <v>39</v>
      </c>
      <c r="D211" t="s">
        <v>13</v>
      </c>
      <c r="E211" t="s">
        <v>43</v>
      </c>
      <c r="F211" t="s">
        <v>24</v>
      </c>
      <c r="G211">
        <v>5</v>
      </c>
      <c r="H211">
        <v>9000</v>
      </c>
      <c r="I211">
        <v>20</v>
      </c>
      <c r="J211">
        <v>36000</v>
      </c>
      <c r="K211">
        <v>4871.0200000000004</v>
      </c>
    </row>
    <row r="212" spans="1:11" x14ac:dyDescent="0.25">
      <c r="A212">
        <v>1211</v>
      </c>
      <c r="B212" t="s">
        <v>131</v>
      </c>
      <c r="C212" t="s">
        <v>39</v>
      </c>
      <c r="D212" t="s">
        <v>13</v>
      </c>
      <c r="E212" t="s">
        <v>34</v>
      </c>
      <c r="F212" t="s">
        <v>24</v>
      </c>
      <c r="G212">
        <v>10</v>
      </c>
      <c r="H212">
        <v>55000</v>
      </c>
      <c r="I212">
        <v>0</v>
      </c>
      <c r="J212">
        <v>550000</v>
      </c>
      <c r="K212">
        <v>44059.68</v>
      </c>
    </row>
    <row r="213" spans="1:11" x14ac:dyDescent="0.25">
      <c r="A213">
        <v>1212</v>
      </c>
      <c r="B213" t="s">
        <v>206</v>
      </c>
      <c r="C213" t="s">
        <v>21</v>
      </c>
      <c r="D213" t="s">
        <v>17</v>
      </c>
      <c r="E213" t="s">
        <v>14</v>
      </c>
      <c r="F213" t="s">
        <v>15</v>
      </c>
      <c r="G213">
        <v>3</v>
      </c>
      <c r="H213">
        <v>1500</v>
      </c>
      <c r="I213">
        <v>0</v>
      </c>
      <c r="J213">
        <v>4500</v>
      </c>
      <c r="K213">
        <v>1094.19</v>
      </c>
    </row>
    <row r="214" spans="1:11" x14ac:dyDescent="0.25">
      <c r="A214">
        <v>1213</v>
      </c>
      <c r="B214" t="s">
        <v>207</v>
      </c>
      <c r="C214" t="s">
        <v>41</v>
      </c>
      <c r="D214" t="s">
        <v>27</v>
      </c>
      <c r="E214" t="s">
        <v>28</v>
      </c>
      <c r="F214" t="s">
        <v>15</v>
      </c>
      <c r="G214">
        <v>7</v>
      </c>
      <c r="H214">
        <v>800</v>
      </c>
      <c r="I214">
        <v>20</v>
      </c>
      <c r="J214">
        <v>4480</v>
      </c>
      <c r="K214">
        <v>941.67</v>
      </c>
    </row>
    <row r="215" spans="1:11" x14ac:dyDescent="0.25">
      <c r="A215">
        <v>1214</v>
      </c>
      <c r="B215" t="s">
        <v>208</v>
      </c>
      <c r="C215" t="s">
        <v>39</v>
      </c>
      <c r="D215" t="s">
        <v>22</v>
      </c>
      <c r="E215" t="s">
        <v>18</v>
      </c>
      <c r="F215" t="s">
        <v>19</v>
      </c>
      <c r="G215">
        <v>5</v>
      </c>
      <c r="H215">
        <v>7000</v>
      </c>
      <c r="I215">
        <v>5</v>
      </c>
      <c r="J215">
        <v>33250</v>
      </c>
      <c r="K215">
        <v>5519.9</v>
      </c>
    </row>
    <row r="216" spans="1:11" x14ac:dyDescent="0.25">
      <c r="A216">
        <v>1215</v>
      </c>
      <c r="B216" t="s">
        <v>209</v>
      </c>
      <c r="C216" t="s">
        <v>21</v>
      </c>
      <c r="D216" t="s">
        <v>27</v>
      </c>
      <c r="E216" t="s">
        <v>43</v>
      </c>
      <c r="F216" t="s">
        <v>24</v>
      </c>
      <c r="G216">
        <v>4</v>
      </c>
      <c r="H216">
        <v>9000</v>
      </c>
      <c r="I216">
        <v>0</v>
      </c>
      <c r="J216">
        <v>36000</v>
      </c>
      <c r="K216">
        <v>5478.31</v>
      </c>
    </row>
    <row r="217" spans="1:11" x14ac:dyDescent="0.25">
      <c r="A217">
        <v>1216</v>
      </c>
      <c r="B217" t="s">
        <v>210</v>
      </c>
      <c r="C217" t="s">
        <v>45</v>
      </c>
      <c r="D217" t="s">
        <v>13</v>
      </c>
      <c r="E217" t="s">
        <v>18</v>
      </c>
      <c r="F217" t="s">
        <v>19</v>
      </c>
      <c r="G217">
        <v>10</v>
      </c>
      <c r="H217">
        <v>7000</v>
      </c>
      <c r="I217">
        <v>0</v>
      </c>
      <c r="J217">
        <v>70000</v>
      </c>
      <c r="K217">
        <v>9633.68</v>
      </c>
    </row>
    <row r="218" spans="1:11" x14ac:dyDescent="0.25">
      <c r="A218">
        <v>1217</v>
      </c>
      <c r="B218" t="s">
        <v>152</v>
      </c>
      <c r="C218" t="s">
        <v>21</v>
      </c>
      <c r="D218" t="s">
        <v>13</v>
      </c>
      <c r="E218" t="s">
        <v>43</v>
      </c>
      <c r="F218" t="s">
        <v>24</v>
      </c>
      <c r="G218">
        <v>6</v>
      </c>
      <c r="H218">
        <v>9000</v>
      </c>
      <c r="I218">
        <v>15</v>
      </c>
      <c r="J218">
        <v>45900</v>
      </c>
      <c r="K218">
        <v>7403.89</v>
      </c>
    </row>
    <row r="219" spans="1:11" x14ac:dyDescent="0.25">
      <c r="A219">
        <v>1218</v>
      </c>
      <c r="B219" t="s">
        <v>211</v>
      </c>
      <c r="C219" t="s">
        <v>12</v>
      </c>
      <c r="D219" t="s">
        <v>13</v>
      </c>
      <c r="E219" t="s">
        <v>18</v>
      </c>
      <c r="F219" t="s">
        <v>19</v>
      </c>
      <c r="G219">
        <v>6</v>
      </c>
      <c r="H219">
        <v>7000</v>
      </c>
      <c r="I219">
        <v>10</v>
      </c>
      <c r="J219">
        <v>37800</v>
      </c>
      <c r="K219">
        <v>4329.1099999999997</v>
      </c>
    </row>
    <row r="220" spans="1:11" x14ac:dyDescent="0.25">
      <c r="A220">
        <v>1219</v>
      </c>
      <c r="B220" t="s">
        <v>212</v>
      </c>
      <c r="C220" t="s">
        <v>36</v>
      </c>
      <c r="D220" t="s">
        <v>22</v>
      </c>
      <c r="E220" t="s">
        <v>14</v>
      </c>
      <c r="F220" t="s">
        <v>15</v>
      </c>
      <c r="G220">
        <v>2</v>
      </c>
      <c r="H220">
        <v>1500</v>
      </c>
      <c r="I220">
        <v>15</v>
      </c>
      <c r="J220">
        <v>2550</v>
      </c>
      <c r="K220">
        <v>331.24</v>
      </c>
    </row>
    <row r="221" spans="1:11" x14ac:dyDescent="0.25">
      <c r="A221">
        <v>1220</v>
      </c>
      <c r="B221" t="s">
        <v>130</v>
      </c>
      <c r="C221" t="s">
        <v>26</v>
      </c>
      <c r="D221" t="s">
        <v>22</v>
      </c>
      <c r="E221" t="s">
        <v>43</v>
      </c>
      <c r="F221" t="s">
        <v>24</v>
      </c>
      <c r="G221">
        <v>7</v>
      </c>
      <c r="H221">
        <v>9000</v>
      </c>
      <c r="I221">
        <v>5</v>
      </c>
      <c r="J221">
        <v>59850</v>
      </c>
      <c r="K221">
        <v>6888.88</v>
      </c>
    </row>
    <row r="222" spans="1:11" x14ac:dyDescent="0.25">
      <c r="A222">
        <v>1221</v>
      </c>
      <c r="B222" t="s">
        <v>29</v>
      </c>
      <c r="C222" t="s">
        <v>21</v>
      </c>
      <c r="D222" t="s">
        <v>13</v>
      </c>
      <c r="E222" t="s">
        <v>23</v>
      </c>
      <c r="F222" t="s">
        <v>24</v>
      </c>
      <c r="G222">
        <v>8</v>
      </c>
      <c r="H222">
        <v>12000</v>
      </c>
      <c r="I222">
        <v>20</v>
      </c>
      <c r="J222">
        <v>76800</v>
      </c>
      <c r="K222">
        <v>8524.59</v>
      </c>
    </row>
    <row r="223" spans="1:11" x14ac:dyDescent="0.25">
      <c r="A223">
        <v>1222</v>
      </c>
      <c r="B223" t="s">
        <v>213</v>
      </c>
      <c r="C223" t="s">
        <v>47</v>
      </c>
      <c r="D223" t="s">
        <v>17</v>
      </c>
      <c r="E223" t="s">
        <v>34</v>
      </c>
      <c r="F223" t="s">
        <v>24</v>
      </c>
      <c r="G223">
        <v>6</v>
      </c>
      <c r="H223">
        <v>55000</v>
      </c>
      <c r="I223">
        <v>20</v>
      </c>
      <c r="J223">
        <v>264000</v>
      </c>
      <c r="K223">
        <v>44262.25</v>
      </c>
    </row>
    <row r="224" spans="1:11" x14ac:dyDescent="0.25">
      <c r="A224">
        <v>1223</v>
      </c>
      <c r="B224" t="s">
        <v>214</v>
      </c>
      <c r="C224" t="s">
        <v>45</v>
      </c>
      <c r="D224" t="s">
        <v>22</v>
      </c>
      <c r="E224" t="s">
        <v>34</v>
      </c>
      <c r="F224" t="s">
        <v>24</v>
      </c>
      <c r="G224">
        <v>2</v>
      </c>
      <c r="H224">
        <v>55000</v>
      </c>
      <c r="I224">
        <v>15</v>
      </c>
      <c r="J224">
        <v>93500</v>
      </c>
      <c r="K224">
        <v>10110.719999999999</v>
      </c>
    </row>
    <row r="225" spans="1:11" x14ac:dyDescent="0.25">
      <c r="A225">
        <v>1224</v>
      </c>
      <c r="B225" t="s">
        <v>179</v>
      </c>
      <c r="C225" t="s">
        <v>30</v>
      </c>
      <c r="D225" t="s">
        <v>13</v>
      </c>
      <c r="E225" t="s">
        <v>18</v>
      </c>
      <c r="F225" t="s">
        <v>19</v>
      </c>
      <c r="G225">
        <v>1</v>
      </c>
      <c r="H225">
        <v>7000</v>
      </c>
      <c r="I225">
        <v>5</v>
      </c>
      <c r="J225">
        <v>6650</v>
      </c>
      <c r="K225">
        <v>618.83000000000004</v>
      </c>
    </row>
    <row r="226" spans="1:11" x14ac:dyDescent="0.25">
      <c r="A226">
        <v>1225</v>
      </c>
      <c r="B226" t="s">
        <v>215</v>
      </c>
      <c r="C226" t="s">
        <v>21</v>
      </c>
      <c r="D226" t="s">
        <v>17</v>
      </c>
      <c r="E226" t="s">
        <v>23</v>
      </c>
      <c r="F226" t="s">
        <v>24</v>
      </c>
      <c r="G226">
        <v>1</v>
      </c>
      <c r="H226">
        <v>12000</v>
      </c>
      <c r="I226">
        <v>5</v>
      </c>
      <c r="J226">
        <v>11400</v>
      </c>
      <c r="K226">
        <v>1449.01</v>
      </c>
    </row>
    <row r="227" spans="1:11" x14ac:dyDescent="0.25">
      <c r="A227">
        <v>1226</v>
      </c>
      <c r="B227" t="s">
        <v>216</v>
      </c>
      <c r="C227" t="s">
        <v>41</v>
      </c>
      <c r="D227" t="s">
        <v>22</v>
      </c>
      <c r="E227" t="s">
        <v>28</v>
      </c>
      <c r="F227" t="s">
        <v>15</v>
      </c>
      <c r="G227">
        <v>8</v>
      </c>
      <c r="H227">
        <v>800</v>
      </c>
      <c r="I227">
        <v>10</v>
      </c>
      <c r="J227">
        <v>5760</v>
      </c>
      <c r="K227">
        <v>657.34</v>
      </c>
    </row>
    <row r="228" spans="1:11" x14ac:dyDescent="0.25">
      <c r="A228">
        <v>1227</v>
      </c>
      <c r="B228" t="s">
        <v>217</v>
      </c>
      <c r="C228" t="s">
        <v>36</v>
      </c>
      <c r="D228" t="s">
        <v>22</v>
      </c>
      <c r="E228" t="s">
        <v>18</v>
      </c>
      <c r="F228" t="s">
        <v>19</v>
      </c>
      <c r="G228">
        <v>3</v>
      </c>
      <c r="H228">
        <v>7000</v>
      </c>
      <c r="I228">
        <v>0</v>
      </c>
      <c r="J228">
        <v>21000</v>
      </c>
      <c r="K228">
        <v>1955.26</v>
      </c>
    </row>
    <row r="229" spans="1:11" x14ac:dyDescent="0.25">
      <c r="A229">
        <v>1228</v>
      </c>
      <c r="B229" t="s">
        <v>218</v>
      </c>
      <c r="C229" t="s">
        <v>32</v>
      </c>
      <c r="D229" t="s">
        <v>27</v>
      </c>
      <c r="E229" t="s">
        <v>34</v>
      </c>
      <c r="F229" t="s">
        <v>24</v>
      </c>
      <c r="G229">
        <v>10</v>
      </c>
      <c r="H229">
        <v>55000</v>
      </c>
      <c r="I229">
        <v>0</v>
      </c>
      <c r="J229">
        <v>550000</v>
      </c>
      <c r="K229">
        <v>90324.56</v>
      </c>
    </row>
    <row r="230" spans="1:11" x14ac:dyDescent="0.25">
      <c r="A230">
        <v>1229</v>
      </c>
      <c r="B230" t="s">
        <v>219</v>
      </c>
      <c r="C230" t="s">
        <v>30</v>
      </c>
      <c r="D230" t="s">
        <v>13</v>
      </c>
      <c r="E230" t="s">
        <v>43</v>
      </c>
      <c r="F230" t="s">
        <v>24</v>
      </c>
      <c r="G230">
        <v>2</v>
      </c>
      <c r="H230">
        <v>9000</v>
      </c>
      <c r="I230">
        <v>15</v>
      </c>
      <c r="J230">
        <v>15300</v>
      </c>
      <c r="K230">
        <v>3164.75</v>
      </c>
    </row>
    <row r="231" spans="1:11" x14ac:dyDescent="0.25">
      <c r="A231">
        <v>1230</v>
      </c>
      <c r="B231" t="s">
        <v>56</v>
      </c>
      <c r="C231" t="s">
        <v>32</v>
      </c>
      <c r="D231" t="s">
        <v>27</v>
      </c>
      <c r="E231" t="s">
        <v>14</v>
      </c>
      <c r="F231" t="s">
        <v>15</v>
      </c>
      <c r="G231">
        <v>2</v>
      </c>
      <c r="H231">
        <v>1500</v>
      </c>
      <c r="I231">
        <v>15</v>
      </c>
      <c r="J231">
        <v>2550</v>
      </c>
      <c r="K231">
        <v>284.77</v>
      </c>
    </row>
    <row r="232" spans="1:11" x14ac:dyDescent="0.25">
      <c r="A232">
        <v>1231</v>
      </c>
      <c r="B232" t="s">
        <v>190</v>
      </c>
      <c r="C232" t="s">
        <v>36</v>
      </c>
      <c r="D232" t="s">
        <v>13</v>
      </c>
      <c r="E232" t="s">
        <v>18</v>
      </c>
      <c r="F232" t="s">
        <v>19</v>
      </c>
      <c r="G232">
        <v>4</v>
      </c>
      <c r="H232">
        <v>7000</v>
      </c>
      <c r="I232">
        <v>0</v>
      </c>
      <c r="J232">
        <v>28000</v>
      </c>
      <c r="K232">
        <v>3707.57</v>
      </c>
    </row>
    <row r="233" spans="1:11" x14ac:dyDescent="0.25">
      <c r="A233">
        <v>1232</v>
      </c>
      <c r="B233" t="s">
        <v>220</v>
      </c>
      <c r="C233" t="s">
        <v>32</v>
      </c>
      <c r="D233" t="s">
        <v>17</v>
      </c>
      <c r="E233" t="s">
        <v>18</v>
      </c>
      <c r="F233" t="s">
        <v>19</v>
      </c>
      <c r="G233">
        <v>6</v>
      </c>
      <c r="H233">
        <v>7000</v>
      </c>
      <c r="I233">
        <v>20</v>
      </c>
      <c r="J233">
        <v>33600</v>
      </c>
      <c r="K233">
        <v>6822.37</v>
      </c>
    </row>
    <row r="234" spans="1:11" x14ac:dyDescent="0.25">
      <c r="A234">
        <v>1233</v>
      </c>
      <c r="B234" t="s">
        <v>221</v>
      </c>
      <c r="C234" t="s">
        <v>12</v>
      </c>
      <c r="D234" t="s">
        <v>22</v>
      </c>
      <c r="E234" t="s">
        <v>34</v>
      </c>
      <c r="F234" t="s">
        <v>24</v>
      </c>
      <c r="G234">
        <v>5</v>
      </c>
      <c r="H234">
        <v>55000</v>
      </c>
      <c r="I234">
        <v>10</v>
      </c>
      <c r="J234">
        <v>247500</v>
      </c>
      <c r="K234">
        <v>48235.82</v>
      </c>
    </row>
    <row r="235" spans="1:11" x14ac:dyDescent="0.25">
      <c r="A235">
        <v>1234</v>
      </c>
      <c r="B235" t="s">
        <v>218</v>
      </c>
      <c r="C235" t="s">
        <v>36</v>
      </c>
      <c r="D235" t="s">
        <v>13</v>
      </c>
      <c r="E235" t="s">
        <v>18</v>
      </c>
      <c r="F235" t="s">
        <v>19</v>
      </c>
      <c r="G235">
        <v>1</v>
      </c>
      <c r="H235">
        <v>7000</v>
      </c>
      <c r="I235">
        <v>10</v>
      </c>
      <c r="J235">
        <v>6300</v>
      </c>
      <c r="K235">
        <v>971.9</v>
      </c>
    </row>
    <row r="236" spans="1:11" x14ac:dyDescent="0.25">
      <c r="A236">
        <v>1235</v>
      </c>
      <c r="B236" t="s">
        <v>222</v>
      </c>
      <c r="C236" t="s">
        <v>30</v>
      </c>
      <c r="D236" t="s">
        <v>17</v>
      </c>
      <c r="E236" t="s">
        <v>34</v>
      </c>
      <c r="F236" t="s">
        <v>24</v>
      </c>
      <c r="G236">
        <v>5</v>
      </c>
      <c r="H236">
        <v>55000</v>
      </c>
      <c r="I236">
        <v>5</v>
      </c>
      <c r="J236">
        <v>261250</v>
      </c>
      <c r="K236">
        <v>22426.13</v>
      </c>
    </row>
    <row r="237" spans="1:11" x14ac:dyDescent="0.25">
      <c r="A237">
        <v>1236</v>
      </c>
      <c r="B237" t="s">
        <v>223</v>
      </c>
      <c r="C237" t="s">
        <v>12</v>
      </c>
      <c r="D237" t="s">
        <v>13</v>
      </c>
      <c r="E237" t="s">
        <v>14</v>
      </c>
      <c r="F237" t="s">
        <v>15</v>
      </c>
      <c r="G237">
        <v>9</v>
      </c>
      <c r="H237">
        <v>1500</v>
      </c>
      <c r="I237">
        <v>15</v>
      </c>
      <c r="J237">
        <v>11475</v>
      </c>
      <c r="K237">
        <v>2207.94</v>
      </c>
    </row>
    <row r="238" spans="1:11" x14ac:dyDescent="0.25">
      <c r="A238">
        <v>1237</v>
      </c>
      <c r="B238" t="s">
        <v>224</v>
      </c>
      <c r="C238" t="s">
        <v>47</v>
      </c>
      <c r="D238" t="s">
        <v>17</v>
      </c>
      <c r="E238" t="s">
        <v>18</v>
      </c>
      <c r="F238" t="s">
        <v>19</v>
      </c>
      <c r="G238">
        <v>7</v>
      </c>
      <c r="H238">
        <v>7000</v>
      </c>
      <c r="I238">
        <v>5</v>
      </c>
      <c r="J238">
        <v>46550</v>
      </c>
      <c r="K238">
        <v>7975.99</v>
      </c>
    </row>
    <row r="239" spans="1:11" x14ac:dyDescent="0.25">
      <c r="A239">
        <v>1238</v>
      </c>
      <c r="B239" t="s">
        <v>212</v>
      </c>
      <c r="C239" t="s">
        <v>30</v>
      </c>
      <c r="D239" t="s">
        <v>17</v>
      </c>
      <c r="E239" t="s">
        <v>43</v>
      </c>
      <c r="F239" t="s">
        <v>24</v>
      </c>
      <c r="G239">
        <v>3</v>
      </c>
      <c r="H239">
        <v>9000</v>
      </c>
      <c r="I239">
        <v>15</v>
      </c>
      <c r="J239">
        <v>22950</v>
      </c>
      <c r="K239">
        <v>2827.61</v>
      </c>
    </row>
    <row r="240" spans="1:11" x14ac:dyDescent="0.25">
      <c r="A240">
        <v>1239</v>
      </c>
      <c r="B240" t="s">
        <v>225</v>
      </c>
      <c r="C240" t="s">
        <v>30</v>
      </c>
      <c r="D240" t="s">
        <v>13</v>
      </c>
      <c r="E240" t="s">
        <v>43</v>
      </c>
      <c r="F240" t="s">
        <v>24</v>
      </c>
      <c r="G240">
        <v>3</v>
      </c>
      <c r="H240">
        <v>9000</v>
      </c>
      <c r="I240">
        <v>5</v>
      </c>
      <c r="J240">
        <v>25650</v>
      </c>
      <c r="K240">
        <v>3647.76</v>
      </c>
    </row>
    <row r="241" spans="1:11" x14ac:dyDescent="0.25">
      <c r="A241">
        <v>1240</v>
      </c>
      <c r="B241" t="s">
        <v>221</v>
      </c>
      <c r="C241" t="s">
        <v>47</v>
      </c>
      <c r="D241" t="s">
        <v>13</v>
      </c>
      <c r="E241" t="s">
        <v>28</v>
      </c>
      <c r="F241" t="s">
        <v>15</v>
      </c>
      <c r="G241">
        <v>6</v>
      </c>
      <c r="H241">
        <v>800</v>
      </c>
      <c r="I241">
        <v>10</v>
      </c>
      <c r="J241">
        <v>4320</v>
      </c>
      <c r="K241">
        <v>673.58</v>
      </c>
    </row>
    <row r="242" spans="1:11" x14ac:dyDescent="0.25">
      <c r="A242">
        <v>1241</v>
      </c>
      <c r="B242" t="s">
        <v>226</v>
      </c>
      <c r="C242" t="s">
        <v>45</v>
      </c>
      <c r="D242" t="s">
        <v>22</v>
      </c>
      <c r="E242" t="s">
        <v>34</v>
      </c>
      <c r="F242" t="s">
        <v>24</v>
      </c>
      <c r="G242">
        <v>4</v>
      </c>
      <c r="H242">
        <v>55000</v>
      </c>
      <c r="I242">
        <v>5</v>
      </c>
      <c r="J242">
        <v>209000</v>
      </c>
      <c r="K242">
        <v>31152.86</v>
      </c>
    </row>
    <row r="243" spans="1:11" x14ac:dyDescent="0.25">
      <c r="A243">
        <v>1242</v>
      </c>
      <c r="B243" t="s">
        <v>100</v>
      </c>
      <c r="C243" t="s">
        <v>39</v>
      </c>
      <c r="D243" t="s">
        <v>27</v>
      </c>
      <c r="E243" t="s">
        <v>28</v>
      </c>
      <c r="F243" t="s">
        <v>15</v>
      </c>
      <c r="G243">
        <v>2</v>
      </c>
      <c r="H243">
        <v>800</v>
      </c>
      <c r="I243">
        <v>5</v>
      </c>
      <c r="J243">
        <v>1520</v>
      </c>
      <c r="K243">
        <v>370.28</v>
      </c>
    </row>
    <row r="244" spans="1:11" x14ac:dyDescent="0.25">
      <c r="A244">
        <v>1243</v>
      </c>
      <c r="B244" t="s">
        <v>227</v>
      </c>
      <c r="C244" t="s">
        <v>45</v>
      </c>
      <c r="D244" t="s">
        <v>22</v>
      </c>
      <c r="E244" t="s">
        <v>14</v>
      </c>
      <c r="F244" t="s">
        <v>15</v>
      </c>
      <c r="G244">
        <v>8</v>
      </c>
      <c r="H244">
        <v>1500</v>
      </c>
      <c r="I244">
        <v>0</v>
      </c>
      <c r="J244">
        <v>12000</v>
      </c>
      <c r="K244">
        <v>1380.43</v>
      </c>
    </row>
    <row r="245" spans="1:11" x14ac:dyDescent="0.25">
      <c r="A245">
        <v>1244</v>
      </c>
      <c r="B245" t="s">
        <v>228</v>
      </c>
      <c r="C245" t="s">
        <v>45</v>
      </c>
      <c r="D245" t="s">
        <v>13</v>
      </c>
      <c r="E245" t="s">
        <v>34</v>
      </c>
      <c r="F245" t="s">
        <v>24</v>
      </c>
      <c r="G245">
        <v>2</v>
      </c>
      <c r="H245">
        <v>55000</v>
      </c>
      <c r="I245">
        <v>15</v>
      </c>
      <c r="J245">
        <v>93500</v>
      </c>
      <c r="K245">
        <v>21754.78</v>
      </c>
    </row>
    <row r="246" spans="1:11" x14ac:dyDescent="0.25">
      <c r="A246">
        <v>1245</v>
      </c>
      <c r="B246" t="s">
        <v>229</v>
      </c>
      <c r="C246" t="s">
        <v>26</v>
      </c>
      <c r="D246" t="s">
        <v>22</v>
      </c>
      <c r="E246" t="s">
        <v>28</v>
      </c>
      <c r="F246" t="s">
        <v>15</v>
      </c>
      <c r="G246">
        <v>1</v>
      </c>
      <c r="H246">
        <v>800</v>
      </c>
      <c r="I246">
        <v>0</v>
      </c>
      <c r="J246">
        <v>800</v>
      </c>
      <c r="K246">
        <v>187.98</v>
      </c>
    </row>
    <row r="247" spans="1:11" x14ac:dyDescent="0.25">
      <c r="A247">
        <v>1246</v>
      </c>
      <c r="B247" t="s">
        <v>230</v>
      </c>
      <c r="C247" t="s">
        <v>45</v>
      </c>
      <c r="D247" t="s">
        <v>13</v>
      </c>
      <c r="E247" t="s">
        <v>34</v>
      </c>
      <c r="F247" t="s">
        <v>24</v>
      </c>
      <c r="G247">
        <v>6</v>
      </c>
      <c r="H247">
        <v>55000</v>
      </c>
      <c r="I247">
        <v>0</v>
      </c>
      <c r="J247">
        <v>330000</v>
      </c>
      <c r="K247">
        <v>37654.699999999997</v>
      </c>
    </row>
    <row r="248" spans="1:11" x14ac:dyDescent="0.25">
      <c r="A248">
        <v>1247</v>
      </c>
      <c r="B248" t="s">
        <v>231</v>
      </c>
      <c r="C248" t="s">
        <v>45</v>
      </c>
      <c r="D248" t="s">
        <v>27</v>
      </c>
      <c r="E248" t="s">
        <v>18</v>
      </c>
      <c r="F248" t="s">
        <v>19</v>
      </c>
      <c r="G248">
        <v>2</v>
      </c>
      <c r="H248">
        <v>7000</v>
      </c>
      <c r="I248">
        <v>0</v>
      </c>
      <c r="J248">
        <v>14000</v>
      </c>
      <c r="K248">
        <v>1680.55</v>
      </c>
    </row>
    <row r="249" spans="1:11" x14ac:dyDescent="0.25">
      <c r="A249">
        <v>1248</v>
      </c>
      <c r="B249" t="s">
        <v>232</v>
      </c>
      <c r="C249" t="s">
        <v>41</v>
      </c>
      <c r="D249" t="s">
        <v>27</v>
      </c>
      <c r="E249" t="s">
        <v>28</v>
      </c>
      <c r="F249" t="s">
        <v>15</v>
      </c>
      <c r="G249">
        <v>2</v>
      </c>
      <c r="H249">
        <v>800</v>
      </c>
      <c r="I249">
        <v>0</v>
      </c>
      <c r="J249">
        <v>1600</v>
      </c>
      <c r="K249">
        <v>306.25</v>
      </c>
    </row>
    <row r="250" spans="1:11" x14ac:dyDescent="0.25">
      <c r="A250">
        <v>1249</v>
      </c>
      <c r="B250" t="s">
        <v>233</v>
      </c>
      <c r="C250" t="s">
        <v>41</v>
      </c>
      <c r="D250" t="s">
        <v>22</v>
      </c>
      <c r="E250" t="s">
        <v>43</v>
      </c>
      <c r="F250" t="s">
        <v>24</v>
      </c>
      <c r="G250">
        <v>10</v>
      </c>
      <c r="H250">
        <v>9000</v>
      </c>
      <c r="I250">
        <v>0</v>
      </c>
      <c r="J250">
        <v>90000</v>
      </c>
      <c r="K250">
        <v>13485.82</v>
      </c>
    </row>
    <row r="251" spans="1:11" x14ac:dyDescent="0.25">
      <c r="A251">
        <v>1250</v>
      </c>
      <c r="B251" t="s">
        <v>102</v>
      </c>
      <c r="C251" t="s">
        <v>30</v>
      </c>
      <c r="D251" t="s">
        <v>13</v>
      </c>
      <c r="E251" t="s">
        <v>18</v>
      </c>
      <c r="F251" t="s">
        <v>19</v>
      </c>
      <c r="G251">
        <v>7</v>
      </c>
      <c r="H251">
        <v>7000</v>
      </c>
      <c r="I251">
        <v>0</v>
      </c>
      <c r="J251">
        <v>49000</v>
      </c>
      <c r="K251">
        <v>4303.43</v>
      </c>
    </row>
    <row r="252" spans="1:11" x14ac:dyDescent="0.25">
      <c r="A252">
        <v>1251</v>
      </c>
      <c r="B252" t="s">
        <v>154</v>
      </c>
      <c r="C252" t="s">
        <v>41</v>
      </c>
      <c r="D252" t="s">
        <v>27</v>
      </c>
      <c r="E252" t="s">
        <v>23</v>
      </c>
      <c r="F252" t="s">
        <v>24</v>
      </c>
      <c r="G252">
        <v>10</v>
      </c>
      <c r="H252">
        <v>12000</v>
      </c>
      <c r="I252">
        <v>5</v>
      </c>
      <c r="J252">
        <v>114000</v>
      </c>
      <c r="K252">
        <v>9843.27</v>
      </c>
    </row>
    <row r="253" spans="1:11" x14ac:dyDescent="0.25">
      <c r="A253">
        <v>1252</v>
      </c>
      <c r="B253" t="s">
        <v>206</v>
      </c>
      <c r="C253" t="s">
        <v>21</v>
      </c>
      <c r="D253" t="s">
        <v>17</v>
      </c>
      <c r="E253" t="s">
        <v>18</v>
      </c>
      <c r="F253" t="s">
        <v>19</v>
      </c>
      <c r="G253">
        <v>8</v>
      </c>
      <c r="H253">
        <v>7000</v>
      </c>
      <c r="I253">
        <v>15</v>
      </c>
      <c r="J253">
        <v>47600</v>
      </c>
      <c r="K253">
        <v>9952.2800000000007</v>
      </c>
    </row>
    <row r="254" spans="1:11" x14ac:dyDescent="0.25">
      <c r="A254">
        <v>1253</v>
      </c>
      <c r="B254" t="s">
        <v>168</v>
      </c>
      <c r="C254" t="s">
        <v>26</v>
      </c>
      <c r="D254" t="s">
        <v>27</v>
      </c>
      <c r="E254" t="s">
        <v>43</v>
      </c>
      <c r="F254" t="s">
        <v>24</v>
      </c>
      <c r="G254">
        <v>4</v>
      </c>
      <c r="H254">
        <v>9000</v>
      </c>
      <c r="I254">
        <v>10</v>
      </c>
      <c r="J254">
        <v>32400</v>
      </c>
      <c r="K254">
        <v>7077.5</v>
      </c>
    </row>
    <row r="255" spans="1:11" x14ac:dyDescent="0.25">
      <c r="A255">
        <v>1254</v>
      </c>
      <c r="B255" t="s">
        <v>227</v>
      </c>
      <c r="C255" t="s">
        <v>36</v>
      </c>
      <c r="D255" t="s">
        <v>22</v>
      </c>
      <c r="E255" t="s">
        <v>34</v>
      </c>
      <c r="F255" t="s">
        <v>24</v>
      </c>
      <c r="G255">
        <v>10</v>
      </c>
      <c r="H255">
        <v>55000</v>
      </c>
      <c r="I255">
        <v>10</v>
      </c>
      <c r="J255">
        <v>495000</v>
      </c>
      <c r="K255">
        <v>114770.47</v>
      </c>
    </row>
    <row r="256" spans="1:11" x14ac:dyDescent="0.25">
      <c r="A256">
        <v>1255</v>
      </c>
      <c r="B256" t="s">
        <v>234</v>
      </c>
      <c r="C256" t="s">
        <v>30</v>
      </c>
      <c r="D256" t="s">
        <v>22</v>
      </c>
      <c r="E256" t="s">
        <v>43</v>
      </c>
      <c r="F256" t="s">
        <v>24</v>
      </c>
      <c r="G256">
        <v>8</v>
      </c>
      <c r="H256">
        <v>9000</v>
      </c>
      <c r="I256">
        <v>10</v>
      </c>
      <c r="J256">
        <v>64800</v>
      </c>
      <c r="K256">
        <v>13649.38</v>
      </c>
    </row>
    <row r="257" spans="1:11" x14ac:dyDescent="0.25">
      <c r="A257">
        <v>1256</v>
      </c>
      <c r="B257" t="s">
        <v>235</v>
      </c>
      <c r="C257" t="s">
        <v>30</v>
      </c>
      <c r="D257" t="s">
        <v>13</v>
      </c>
      <c r="E257" t="s">
        <v>18</v>
      </c>
      <c r="F257" t="s">
        <v>19</v>
      </c>
      <c r="G257">
        <v>10</v>
      </c>
      <c r="H257">
        <v>7000</v>
      </c>
      <c r="I257">
        <v>20</v>
      </c>
      <c r="J257">
        <v>56000</v>
      </c>
      <c r="K257">
        <v>5504.91</v>
      </c>
    </row>
    <row r="258" spans="1:11" x14ac:dyDescent="0.25">
      <c r="A258">
        <v>1257</v>
      </c>
      <c r="B258" t="s">
        <v>236</v>
      </c>
      <c r="C258" t="s">
        <v>21</v>
      </c>
      <c r="D258" t="s">
        <v>22</v>
      </c>
      <c r="E258" t="s">
        <v>34</v>
      </c>
      <c r="F258" t="s">
        <v>24</v>
      </c>
      <c r="G258">
        <v>5</v>
      </c>
      <c r="H258">
        <v>55000</v>
      </c>
      <c r="I258">
        <v>15</v>
      </c>
      <c r="J258">
        <v>233750</v>
      </c>
      <c r="K258">
        <v>55194.76</v>
      </c>
    </row>
    <row r="259" spans="1:11" x14ac:dyDescent="0.25">
      <c r="A259">
        <v>1258</v>
      </c>
      <c r="B259" t="s">
        <v>237</v>
      </c>
      <c r="C259" t="s">
        <v>21</v>
      </c>
      <c r="D259" t="s">
        <v>22</v>
      </c>
      <c r="E259" t="s">
        <v>43</v>
      </c>
      <c r="F259" t="s">
        <v>24</v>
      </c>
      <c r="G259">
        <v>7</v>
      </c>
      <c r="H259">
        <v>9000</v>
      </c>
      <c r="I259">
        <v>5</v>
      </c>
      <c r="J259">
        <v>59850</v>
      </c>
      <c r="K259">
        <v>14621.35</v>
      </c>
    </row>
    <row r="260" spans="1:11" x14ac:dyDescent="0.25">
      <c r="A260">
        <v>1259</v>
      </c>
      <c r="B260" t="s">
        <v>238</v>
      </c>
      <c r="C260" t="s">
        <v>45</v>
      </c>
      <c r="D260" t="s">
        <v>27</v>
      </c>
      <c r="E260" t="s">
        <v>14</v>
      </c>
      <c r="F260" t="s">
        <v>15</v>
      </c>
      <c r="G260">
        <v>1</v>
      </c>
      <c r="H260">
        <v>1500</v>
      </c>
      <c r="I260">
        <v>20</v>
      </c>
      <c r="J260">
        <v>1200</v>
      </c>
      <c r="K260">
        <v>209.24</v>
      </c>
    </row>
    <row r="261" spans="1:11" x14ac:dyDescent="0.25">
      <c r="A261">
        <v>1260</v>
      </c>
      <c r="B261" t="s">
        <v>159</v>
      </c>
      <c r="C261" t="s">
        <v>30</v>
      </c>
      <c r="D261" t="s">
        <v>27</v>
      </c>
      <c r="E261" t="s">
        <v>23</v>
      </c>
      <c r="F261" t="s">
        <v>24</v>
      </c>
      <c r="G261">
        <v>3</v>
      </c>
      <c r="H261">
        <v>12000</v>
      </c>
      <c r="I261">
        <v>15</v>
      </c>
      <c r="J261">
        <v>30600</v>
      </c>
      <c r="K261">
        <v>6480.04</v>
      </c>
    </row>
    <row r="262" spans="1:11" x14ac:dyDescent="0.25">
      <c r="A262">
        <v>1261</v>
      </c>
      <c r="B262" t="s">
        <v>83</v>
      </c>
      <c r="C262" t="s">
        <v>12</v>
      </c>
      <c r="D262" t="s">
        <v>13</v>
      </c>
      <c r="E262" t="s">
        <v>34</v>
      </c>
      <c r="F262" t="s">
        <v>24</v>
      </c>
      <c r="G262">
        <v>9</v>
      </c>
      <c r="H262">
        <v>55000</v>
      </c>
      <c r="I262">
        <v>0</v>
      </c>
      <c r="J262">
        <v>495000</v>
      </c>
      <c r="K262">
        <v>81689.919999999998</v>
      </c>
    </row>
    <row r="263" spans="1:11" x14ac:dyDescent="0.25">
      <c r="A263">
        <v>1262</v>
      </c>
      <c r="B263" t="s">
        <v>239</v>
      </c>
      <c r="C263" t="s">
        <v>36</v>
      </c>
      <c r="D263" t="s">
        <v>17</v>
      </c>
      <c r="E263" t="s">
        <v>14</v>
      </c>
      <c r="F263" t="s">
        <v>15</v>
      </c>
      <c r="G263">
        <v>6</v>
      </c>
      <c r="H263">
        <v>1500</v>
      </c>
      <c r="I263">
        <v>10</v>
      </c>
      <c r="J263">
        <v>8100</v>
      </c>
      <c r="K263">
        <v>988.89</v>
      </c>
    </row>
    <row r="264" spans="1:11" x14ac:dyDescent="0.25">
      <c r="A264">
        <v>1263</v>
      </c>
      <c r="B264" t="s">
        <v>240</v>
      </c>
      <c r="C264" t="s">
        <v>45</v>
      </c>
      <c r="D264" t="s">
        <v>17</v>
      </c>
      <c r="E264" t="s">
        <v>34</v>
      </c>
      <c r="F264" t="s">
        <v>24</v>
      </c>
      <c r="G264">
        <v>1</v>
      </c>
      <c r="H264">
        <v>55000</v>
      </c>
      <c r="I264">
        <v>20</v>
      </c>
      <c r="J264">
        <v>44000</v>
      </c>
      <c r="K264">
        <v>4814.2299999999996</v>
      </c>
    </row>
    <row r="265" spans="1:11" x14ac:dyDescent="0.25">
      <c r="A265">
        <v>1264</v>
      </c>
      <c r="B265" t="s">
        <v>139</v>
      </c>
      <c r="C265" t="s">
        <v>45</v>
      </c>
      <c r="D265" t="s">
        <v>13</v>
      </c>
      <c r="E265" t="s">
        <v>14</v>
      </c>
      <c r="F265" t="s">
        <v>15</v>
      </c>
      <c r="G265">
        <v>10</v>
      </c>
      <c r="H265">
        <v>1500</v>
      </c>
      <c r="I265">
        <v>5</v>
      </c>
      <c r="J265">
        <v>14250</v>
      </c>
      <c r="K265">
        <v>2409.37</v>
      </c>
    </row>
    <row r="266" spans="1:11" x14ac:dyDescent="0.25">
      <c r="A266">
        <v>1265</v>
      </c>
      <c r="B266" t="s">
        <v>241</v>
      </c>
      <c r="C266" t="s">
        <v>41</v>
      </c>
      <c r="D266" t="s">
        <v>13</v>
      </c>
      <c r="E266" t="s">
        <v>34</v>
      </c>
      <c r="F266" t="s">
        <v>24</v>
      </c>
      <c r="G266">
        <v>4</v>
      </c>
      <c r="H266">
        <v>55000</v>
      </c>
      <c r="I266">
        <v>15</v>
      </c>
      <c r="J266">
        <v>187000</v>
      </c>
      <c r="K266">
        <v>31196.92</v>
      </c>
    </row>
    <row r="267" spans="1:11" x14ac:dyDescent="0.25">
      <c r="A267">
        <v>1266</v>
      </c>
      <c r="B267" t="s">
        <v>85</v>
      </c>
      <c r="C267" t="s">
        <v>41</v>
      </c>
      <c r="D267" t="s">
        <v>27</v>
      </c>
      <c r="E267" t="s">
        <v>18</v>
      </c>
      <c r="F267" t="s">
        <v>19</v>
      </c>
      <c r="G267">
        <v>10</v>
      </c>
      <c r="H267">
        <v>7000</v>
      </c>
      <c r="I267">
        <v>20</v>
      </c>
      <c r="J267">
        <v>56000</v>
      </c>
      <c r="K267">
        <v>11680.78</v>
      </c>
    </row>
    <row r="268" spans="1:11" x14ac:dyDescent="0.25">
      <c r="A268">
        <v>1267</v>
      </c>
      <c r="B268" t="s">
        <v>242</v>
      </c>
      <c r="C268" t="s">
        <v>36</v>
      </c>
      <c r="D268" t="s">
        <v>17</v>
      </c>
      <c r="E268" t="s">
        <v>23</v>
      </c>
      <c r="F268" t="s">
        <v>24</v>
      </c>
      <c r="G268">
        <v>6</v>
      </c>
      <c r="H268">
        <v>12000</v>
      </c>
      <c r="I268">
        <v>10</v>
      </c>
      <c r="J268">
        <v>64800</v>
      </c>
      <c r="K268">
        <v>5282.43</v>
      </c>
    </row>
    <row r="269" spans="1:11" x14ac:dyDescent="0.25">
      <c r="A269">
        <v>1268</v>
      </c>
      <c r="B269" t="s">
        <v>210</v>
      </c>
      <c r="C269" t="s">
        <v>30</v>
      </c>
      <c r="D269" t="s">
        <v>17</v>
      </c>
      <c r="E269" t="s">
        <v>14</v>
      </c>
      <c r="F269" t="s">
        <v>15</v>
      </c>
      <c r="G269">
        <v>4</v>
      </c>
      <c r="H269">
        <v>1500</v>
      </c>
      <c r="I269">
        <v>10</v>
      </c>
      <c r="J269">
        <v>5400</v>
      </c>
      <c r="K269">
        <v>734.37</v>
      </c>
    </row>
    <row r="270" spans="1:11" x14ac:dyDescent="0.25">
      <c r="A270">
        <v>1269</v>
      </c>
      <c r="B270" t="s">
        <v>243</v>
      </c>
      <c r="C270" t="s">
        <v>39</v>
      </c>
      <c r="D270" t="s">
        <v>22</v>
      </c>
      <c r="E270" t="s">
        <v>14</v>
      </c>
      <c r="F270" t="s">
        <v>15</v>
      </c>
      <c r="G270">
        <v>8</v>
      </c>
      <c r="H270">
        <v>1500</v>
      </c>
      <c r="I270">
        <v>10</v>
      </c>
      <c r="J270">
        <v>10800</v>
      </c>
      <c r="K270">
        <v>1875.75</v>
      </c>
    </row>
    <row r="271" spans="1:11" x14ac:dyDescent="0.25">
      <c r="A271">
        <v>1270</v>
      </c>
      <c r="B271" t="s">
        <v>64</v>
      </c>
      <c r="C271" t="s">
        <v>30</v>
      </c>
      <c r="D271" t="s">
        <v>27</v>
      </c>
      <c r="E271" t="s">
        <v>18</v>
      </c>
      <c r="F271" t="s">
        <v>19</v>
      </c>
      <c r="G271">
        <v>5</v>
      </c>
      <c r="H271">
        <v>7000</v>
      </c>
      <c r="I271">
        <v>5</v>
      </c>
      <c r="J271">
        <v>33250</v>
      </c>
      <c r="K271">
        <v>6644.03</v>
      </c>
    </row>
    <row r="272" spans="1:11" x14ac:dyDescent="0.25">
      <c r="A272">
        <v>1271</v>
      </c>
      <c r="B272" t="s">
        <v>233</v>
      </c>
      <c r="C272" t="s">
        <v>26</v>
      </c>
      <c r="D272" t="s">
        <v>22</v>
      </c>
      <c r="E272" t="s">
        <v>34</v>
      </c>
      <c r="F272" t="s">
        <v>24</v>
      </c>
      <c r="G272">
        <v>5</v>
      </c>
      <c r="H272">
        <v>55000</v>
      </c>
      <c r="I272">
        <v>15</v>
      </c>
      <c r="J272">
        <v>233750</v>
      </c>
      <c r="K272">
        <v>24803.13</v>
      </c>
    </row>
    <row r="273" spans="1:11" x14ac:dyDescent="0.25">
      <c r="A273">
        <v>1272</v>
      </c>
      <c r="B273" t="s">
        <v>244</v>
      </c>
      <c r="C273" t="s">
        <v>45</v>
      </c>
      <c r="D273" t="s">
        <v>17</v>
      </c>
      <c r="E273" t="s">
        <v>43</v>
      </c>
      <c r="F273" t="s">
        <v>24</v>
      </c>
      <c r="G273">
        <v>8</v>
      </c>
      <c r="H273">
        <v>9000</v>
      </c>
      <c r="I273">
        <v>20</v>
      </c>
      <c r="J273">
        <v>57600</v>
      </c>
      <c r="K273">
        <v>12943.8</v>
      </c>
    </row>
    <row r="274" spans="1:11" x14ac:dyDescent="0.25">
      <c r="A274">
        <v>1273</v>
      </c>
      <c r="B274" t="s">
        <v>245</v>
      </c>
      <c r="C274" t="s">
        <v>47</v>
      </c>
      <c r="D274" t="s">
        <v>27</v>
      </c>
      <c r="E274" t="s">
        <v>43</v>
      </c>
      <c r="F274" t="s">
        <v>24</v>
      </c>
      <c r="G274">
        <v>5</v>
      </c>
      <c r="H274">
        <v>9000</v>
      </c>
      <c r="I274">
        <v>0</v>
      </c>
      <c r="J274">
        <v>45000</v>
      </c>
      <c r="K274">
        <v>9419.4699999999993</v>
      </c>
    </row>
    <row r="275" spans="1:11" x14ac:dyDescent="0.25">
      <c r="A275">
        <v>1274</v>
      </c>
      <c r="B275" t="s">
        <v>20</v>
      </c>
      <c r="C275" t="s">
        <v>30</v>
      </c>
      <c r="D275" t="s">
        <v>27</v>
      </c>
      <c r="E275" t="s">
        <v>14</v>
      </c>
      <c r="F275" t="s">
        <v>15</v>
      </c>
      <c r="G275">
        <v>4</v>
      </c>
      <c r="H275">
        <v>1500</v>
      </c>
      <c r="I275">
        <v>15</v>
      </c>
      <c r="J275">
        <v>5100</v>
      </c>
      <c r="K275">
        <v>462.78</v>
      </c>
    </row>
    <row r="276" spans="1:11" x14ac:dyDescent="0.25">
      <c r="A276">
        <v>1275</v>
      </c>
      <c r="B276" t="s">
        <v>246</v>
      </c>
      <c r="C276" t="s">
        <v>39</v>
      </c>
      <c r="D276" t="s">
        <v>17</v>
      </c>
      <c r="E276" t="s">
        <v>23</v>
      </c>
      <c r="F276" t="s">
        <v>24</v>
      </c>
      <c r="G276">
        <v>2</v>
      </c>
      <c r="H276">
        <v>12000</v>
      </c>
      <c r="I276">
        <v>5</v>
      </c>
      <c r="J276">
        <v>22800</v>
      </c>
      <c r="K276">
        <v>2086.61</v>
      </c>
    </row>
    <row r="277" spans="1:11" x14ac:dyDescent="0.25">
      <c r="A277">
        <v>1276</v>
      </c>
      <c r="B277" t="s">
        <v>247</v>
      </c>
      <c r="C277" t="s">
        <v>26</v>
      </c>
      <c r="D277" t="s">
        <v>22</v>
      </c>
      <c r="E277" t="s">
        <v>18</v>
      </c>
      <c r="F277" t="s">
        <v>19</v>
      </c>
      <c r="G277">
        <v>4</v>
      </c>
      <c r="H277">
        <v>7000</v>
      </c>
      <c r="I277">
        <v>15</v>
      </c>
      <c r="J277">
        <v>23800</v>
      </c>
      <c r="K277">
        <v>3981.92</v>
      </c>
    </row>
    <row r="278" spans="1:11" x14ac:dyDescent="0.25">
      <c r="A278">
        <v>1277</v>
      </c>
      <c r="B278" t="s">
        <v>248</v>
      </c>
      <c r="C278" t="s">
        <v>12</v>
      </c>
      <c r="D278" t="s">
        <v>22</v>
      </c>
      <c r="E278" t="s">
        <v>14</v>
      </c>
      <c r="F278" t="s">
        <v>15</v>
      </c>
      <c r="G278">
        <v>10</v>
      </c>
      <c r="H278">
        <v>1500</v>
      </c>
      <c r="I278">
        <v>20</v>
      </c>
      <c r="J278">
        <v>12000</v>
      </c>
      <c r="K278">
        <v>2976.89</v>
      </c>
    </row>
    <row r="279" spans="1:11" x14ac:dyDescent="0.25">
      <c r="A279">
        <v>1278</v>
      </c>
      <c r="B279" t="s">
        <v>249</v>
      </c>
      <c r="C279" t="s">
        <v>12</v>
      </c>
      <c r="D279" t="s">
        <v>13</v>
      </c>
      <c r="E279" t="s">
        <v>23</v>
      </c>
      <c r="F279" t="s">
        <v>24</v>
      </c>
      <c r="G279">
        <v>1</v>
      </c>
      <c r="H279">
        <v>12000</v>
      </c>
      <c r="I279">
        <v>10</v>
      </c>
      <c r="J279">
        <v>10800</v>
      </c>
      <c r="K279">
        <v>2168.8200000000002</v>
      </c>
    </row>
    <row r="280" spans="1:11" x14ac:dyDescent="0.25">
      <c r="A280">
        <v>1279</v>
      </c>
      <c r="B280" t="s">
        <v>250</v>
      </c>
      <c r="C280" t="s">
        <v>30</v>
      </c>
      <c r="D280" t="s">
        <v>13</v>
      </c>
      <c r="E280" t="s">
        <v>28</v>
      </c>
      <c r="F280" t="s">
        <v>15</v>
      </c>
      <c r="G280">
        <v>10</v>
      </c>
      <c r="H280">
        <v>800</v>
      </c>
      <c r="I280">
        <v>0</v>
      </c>
      <c r="J280">
        <v>8000</v>
      </c>
      <c r="K280">
        <v>1487.14</v>
      </c>
    </row>
    <row r="281" spans="1:11" x14ac:dyDescent="0.25">
      <c r="A281">
        <v>1280</v>
      </c>
      <c r="B281" t="s">
        <v>251</v>
      </c>
      <c r="C281" t="s">
        <v>30</v>
      </c>
      <c r="D281" t="s">
        <v>22</v>
      </c>
      <c r="E281" t="s">
        <v>23</v>
      </c>
      <c r="F281" t="s">
        <v>24</v>
      </c>
      <c r="G281">
        <v>7</v>
      </c>
      <c r="H281">
        <v>12000</v>
      </c>
      <c r="I281">
        <v>15</v>
      </c>
      <c r="J281">
        <v>71400</v>
      </c>
      <c r="K281">
        <v>14937.86</v>
      </c>
    </row>
    <row r="282" spans="1:11" x14ac:dyDescent="0.25">
      <c r="A282">
        <v>1281</v>
      </c>
      <c r="B282" t="s">
        <v>199</v>
      </c>
      <c r="C282" t="s">
        <v>12</v>
      </c>
      <c r="D282" t="s">
        <v>27</v>
      </c>
      <c r="E282" t="s">
        <v>18</v>
      </c>
      <c r="F282" t="s">
        <v>19</v>
      </c>
      <c r="G282">
        <v>9</v>
      </c>
      <c r="H282">
        <v>7000</v>
      </c>
      <c r="I282">
        <v>0</v>
      </c>
      <c r="J282">
        <v>63000</v>
      </c>
      <c r="K282">
        <v>15578.98</v>
      </c>
    </row>
    <row r="283" spans="1:11" x14ac:dyDescent="0.25">
      <c r="A283">
        <v>1282</v>
      </c>
      <c r="B283" t="s">
        <v>252</v>
      </c>
      <c r="C283" t="s">
        <v>47</v>
      </c>
      <c r="D283" t="s">
        <v>17</v>
      </c>
      <c r="E283" t="s">
        <v>14</v>
      </c>
      <c r="F283" t="s">
        <v>15</v>
      </c>
      <c r="G283">
        <v>6</v>
      </c>
      <c r="H283">
        <v>1500</v>
      </c>
      <c r="I283">
        <v>5</v>
      </c>
      <c r="J283">
        <v>8550</v>
      </c>
      <c r="K283">
        <v>1215.46</v>
      </c>
    </row>
    <row r="284" spans="1:11" x14ac:dyDescent="0.25">
      <c r="A284">
        <v>1283</v>
      </c>
      <c r="B284" t="s">
        <v>253</v>
      </c>
      <c r="C284" t="s">
        <v>26</v>
      </c>
      <c r="D284" t="s">
        <v>13</v>
      </c>
      <c r="E284" t="s">
        <v>28</v>
      </c>
      <c r="F284" t="s">
        <v>15</v>
      </c>
      <c r="G284">
        <v>6</v>
      </c>
      <c r="H284">
        <v>800</v>
      </c>
      <c r="I284">
        <v>5</v>
      </c>
      <c r="J284">
        <v>4560</v>
      </c>
      <c r="K284">
        <v>378.38</v>
      </c>
    </row>
    <row r="285" spans="1:11" x14ac:dyDescent="0.25">
      <c r="A285">
        <v>1284</v>
      </c>
      <c r="B285" t="s">
        <v>113</v>
      </c>
      <c r="C285" t="s">
        <v>45</v>
      </c>
      <c r="D285" t="s">
        <v>13</v>
      </c>
      <c r="E285" t="s">
        <v>14</v>
      </c>
      <c r="F285" t="s">
        <v>15</v>
      </c>
      <c r="G285">
        <v>4</v>
      </c>
      <c r="H285">
        <v>1500</v>
      </c>
      <c r="I285">
        <v>15</v>
      </c>
      <c r="J285">
        <v>5100</v>
      </c>
      <c r="K285">
        <v>625.33000000000004</v>
      </c>
    </row>
    <row r="286" spans="1:11" x14ac:dyDescent="0.25">
      <c r="A286">
        <v>1285</v>
      </c>
      <c r="B286" t="s">
        <v>254</v>
      </c>
      <c r="C286" t="s">
        <v>47</v>
      </c>
      <c r="D286" t="s">
        <v>22</v>
      </c>
      <c r="E286" t="s">
        <v>43</v>
      </c>
      <c r="F286" t="s">
        <v>24</v>
      </c>
      <c r="G286">
        <v>1</v>
      </c>
      <c r="H286">
        <v>9000</v>
      </c>
      <c r="I286">
        <v>20</v>
      </c>
      <c r="J286">
        <v>7200</v>
      </c>
      <c r="K286">
        <v>748.74</v>
      </c>
    </row>
    <row r="287" spans="1:11" x14ac:dyDescent="0.25">
      <c r="A287">
        <v>1286</v>
      </c>
      <c r="B287" t="s">
        <v>255</v>
      </c>
      <c r="C287" t="s">
        <v>47</v>
      </c>
      <c r="D287" t="s">
        <v>13</v>
      </c>
      <c r="E287" t="s">
        <v>23</v>
      </c>
      <c r="F287" t="s">
        <v>24</v>
      </c>
      <c r="G287">
        <v>6</v>
      </c>
      <c r="H287">
        <v>12000</v>
      </c>
      <c r="I287">
        <v>10</v>
      </c>
      <c r="J287">
        <v>64800</v>
      </c>
      <c r="K287">
        <v>13095.53</v>
      </c>
    </row>
    <row r="288" spans="1:11" x14ac:dyDescent="0.25">
      <c r="A288">
        <v>1287</v>
      </c>
      <c r="B288" t="s">
        <v>256</v>
      </c>
      <c r="C288" t="s">
        <v>30</v>
      </c>
      <c r="D288" t="s">
        <v>27</v>
      </c>
      <c r="E288" t="s">
        <v>23</v>
      </c>
      <c r="F288" t="s">
        <v>24</v>
      </c>
      <c r="G288">
        <v>9</v>
      </c>
      <c r="H288">
        <v>12000</v>
      </c>
      <c r="I288">
        <v>0</v>
      </c>
      <c r="J288">
        <v>108000</v>
      </c>
      <c r="K288">
        <v>20283.490000000002</v>
      </c>
    </row>
    <row r="289" spans="1:11" x14ac:dyDescent="0.25">
      <c r="A289">
        <v>1288</v>
      </c>
      <c r="B289" t="s">
        <v>194</v>
      </c>
      <c r="C289" t="s">
        <v>36</v>
      </c>
      <c r="D289" t="s">
        <v>13</v>
      </c>
      <c r="E289" t="s">
        <v>34</v>
      </c>
      <c r="F289" t="s">
        <v>24</v>
      </c>
      <c r="G289">
        <v>3</v>
      </c>
      <c r="H289">
        <v>55000</v>
      </c>
      <c r="I289">
        <v>15</v>
      </c>
      <c r="J289">
        <v>140250</v>
      </c>
      <c r="K289">
        <v>25913.3</v>
      </c>
    </row>
    <row r="290" spans="1:11" x14ac:dyDescent="0.25">
      <c r="A290">
        <v>1289</v>
      </c>
      <c r="B290" t="s">
        <v>131</v>
      </c>
      <c r="C290" t="s">
        <v>32</v>
      </c>
      <c r="D290" t="s">
        <v>22</v>
      </c>
      <c r="E290" t="s">
        <v>23</v>
      </c>
      <c r="F290" t="s">
        <v>24</v>
      </c>
      <c r="G290">
        <v>7</v>
      </c>
      <c r="H290">
        <v>12000</v>
      </c>
      <c r="I290">
        <v>10</v>
      </c>
      <c r="J290">
        <v>75600</v>
      </c>
      <c r="K290">
        <v>11018.55</v>
      </c>
    </row>
    <row r="291" spans="1:11" x14ac:dyDescent="0.25">
      <c r="A291">
        <v>1290</v>
      </c>
      <c r="B291" t="s">
        <v>257</v>
      </c>
      <c r="C291" t="s">
        <v>12</v>
      </c>
      <c r="D291" t="s">
        <v>17</v>
      </c>
      <c r="E291" t="s">
        <v>14</v>
      </c>
      <c r="F291" t="s">
        <v>15</v>
      </c>
      <c r="G291">
        <v>1</v>
      </c>
      <c r="H291">
        <v>1500</v>
      </c>
      <c r="I291">
        <v>0</v>
      </c>
      <c r="J291">
        <v>1500</v>
      </c>
      <c r="K291">
        <v>300.04000000000002</v>
      </c>
    </row>
    <row r="292" spans="1:11" x14ac:dyDescent="0.25">
      <c r="A292">
        <v>1291</v>
      </c>
      <c r="B292" t="s">
        <v>165</v>
      </c>
      <c r="C292" t="s">
        <v>45</v>
      </c>
      <c r="D292" t="s">
        <v>13</v>
      </c>
      <c r="E292" t="s">
        <v>23</v>
      </c>
      <c r="F292" t="s">
        <v>24</v>
      </c>
      <c r="G292">
        <v>3</v>
      </c>
      <c r="H292">
        <v>12000</v>
      </c>
      <c r="I292">
        <v>5</v>
      </c>
      <c r="J292">
        <v>34200</v>
      </c>
      <c r="K292">
        <v>3122.02</v>
      </c>
    </row>
    <row r="293" spans="1:11" x14ac:dyDescent="0.25">
      <c r="A293">
        <v>1292</v>
      </c>
      <c r="B293" t="s">
        <v>258</v>
      </c>
      <c r="C293" t="s">
        <v>39</v>
      </c>
      <c r="D293" t="s">
        <v>17</v>
      </c>
      <c r="E293" t="s">
        <v>28</v>
      </c>
      <c r="F293" t="s">
        <v>15</v>
      </c>
      <c r="G293">
        <v>3</v>
      </c>
      <c r="H293">
        <v>800</v>
      </c>
      <c r="I293">
        <v>10</v>
      </c>
      <c r="J293">
        <v>2160</v>
      </c>
      <c r="K293">
        <v>181.75</v>
      </c>
    </row>
    <row r="294" spans="1:11" x14ac:dyDescent="0.25">
      <c r="A294">
        <v>1293</v>
      </c>
      <c r="B294" t="s">
        <v>259</v>
      </c>
      <c r="C294" t="s">
        <v>26</v>
      </c>
      <c r="D294" t="s">
        <v>27</v>
      </c>
      <c r="E294" t="s">
        <v>23</v>
      </c>
      <c r="F294" t="s">
        <v>24</v>
      </c>
      <c r="G294">
        <v>7</v>
      </c>
      <c r="H294">
        <v>12000</v>
      </c>
      <c r="I294">
        <v>10</v>
      </c>
      <c r="J294">
        <v>75600</v>
      </c>
      <c r="K294">
        <v>7838.34</v>
      </c>
    </row>
    <row r="295" spans="1:11" x14ac:dyDescent="0.25">
      <c r="A295">
        <v>1294</v>
      </c>
      <c r="B295" t="s">
        <v>204</v>
      </c>
      <c r="C295" t="s">
        <v>26</v>
      </c>
      <c r="D295" t="s">
        <v>17</v>
      </c>
      <c r="E295" t="s">
        <v>43</v>
      </c>
      <c r="F295" t="s">
        <v>24</v>
      </c>
      <c r="G295">
        <v>7</v>
      </c>
      <c r="H295">
        <v>9000</v>
      </c>
      <c r="I295">
        <v>10</v>
      </c>
      <c r="J295">
        <v>56700</v>
      </c>
      <c r="K295">
        <v>6817.59</v>
      </c>
    </row>
    <row r="296" spans="1:11" x14ac:dyDescent="0.25">
      <c r="A296">
        <v>1295</v>
      </c>
      <c r="B296" t="s">
        <v>260</v>
      </c>
      <c r="C296" t="s">
        <v>30</v>
      </c>
      <c r="D296" t="s">
        <v>27</v>
      </c>
      <c r="E296" t="s">
        <v>43</v>
      </c>
      <c r="F296" t="s">
        <v>24</v>
      </c>
      <c r="G296">
        <v>5</v>
      </c>
      <c r="H296">
        <v>9000</v>
      </c>
      <c r="I296">
        <v>20</v>
      </c>
      <c r="J296">
        <v>36000</v>
      </c>
      <c r="K296">
        <v>7522.89</v>
      </c>
    </row>
    <row r="297" spans="1:11" x14ac:dyDescent="0.25">
      <c r="A297">
        <v>1296</v>
      </c>
      <c r="B297" t="s">
        <v>261</v>
      </c>
      <c r="C297" t="s">
        <v>36</v>
      </c>
      <c r="D297" t="s">
        <v>22</v>
      </c>
      <c r="E297" t="s">
        <v>14</v>
      </c>
      <c r="F297" t="s">
        <v>15</v>
      </c>
      <c r="G297">
        <v>6</v>
      </c>
      <c r="H297">
        <v>1500</v>
      </c>
      <c r="I297">
        <v>10</v>
      </c>
      <c r="J297">
        <v>8100</v>
      </c>
      <c r="K297">
        <v>1310.1400000000001</v>
      </c>
    </row>
    <row r="298" spans="1:11" x14ac:dyDescent="0.25">
      <c r="A298">
        <v>1297</v>
      </c>
      <c r="B298" t="s">
        <v>262</v>
      </c>
      <c r="C298" t="s">
        <v>12</v>
      </c>
      <c r="D298" t="s">
        <v>13</v>
      </c>
      <c r="E298" t="s">
        <v>18</v>
      </c>
      <c r="F298" t="s">
        <v>19</v>
      </c>
      <c r="G298">
        <v>7</v>
      </c>
      <c r="H298">
        <v>7000</v>
      </c>
      <c r="I298">
        <v>10</v>
      </c>
      <c r="J298">
        <v>44100</v>
      </c>
      <c r="K298">
        <v>3675.2</v>
      </c>
    </row>
    <row r="299" spans="1:11" x14ac:dyDescent="0.25">
      <c r="A299">
        <v>1298</v>
      </c>
      <c r="B299" t="s">
        <v>87</v>
      </c>
      <c r="C299" t="s">
        <v>47</v>
      </c>
      <c r="D299" t="s">
        <v>17</v>
      </c>
      <c r="E299" t="s">
        <v>28</v>
      </c>
      <c r="F299" t="s">
        <v>15</v>
      </c>
      <c r="G299">
        <v>8</v>
      </c>
      <c r="H299">
        <v>800</v>
      </c>
      <c r="I299">
        <v>0</v>
      </c>
      <c r="J299">
        <v>6400</v>
      </c>
      <c r="K299">
        <v>1504.79</v>
      </c>
    </row>
    <row r="300" spans="1:11" x14ac:dyDescent="0.25">
      <c r="A300">
        <v>1299</v>
      </c>
      <c r="B300" t="s">
        <v>263</v>
      </c>
      <c r="C300" t="s">
        <v>39</v>
      </c>
      <c r="D300" t="s">
        <v>17</v>
      </c>
      <c r="E300" t="s">
        <v>43</v>
      </c>
      <c r="F300" t="s">
        <v>24</v>
      </c>
      <c r="G300">
        <v>3</v>
      </c>
      <c r="H300">
        <v>9000</v>
      </c>
      <c r="I300">
        <v>10</v>
      </c>
      <c r="J300">
        <v>24300</v>
      </c>
      <c r="K300">
        <v>4005.52</v>
      </c>
    </row>
    <row r="301" spans="1:11" x14ac:dyDescent="0.25">
      <c r="A301">
        <v>1300</v>
      </c>
      <c r="B301" t="s">
        <v>46</v>
      </c>
      <c r="C301" t="s">
        <v>26</v>
      </c>
      <c r="D301" t="s">
        <v>22</v>
      </c>
      <c r="E301" t="s">
        <v>23</v>
      </c>
      <c r="F301" t="s">
        <v>24</v>
      </c>
      <c r="G301">
        <v>2</v>
      </c>
      <c r="H301">
        <v>12000</v>
      </c>
      <c r="I301">
        <v>20</v>
      </c>
      <c r="J301">
        <v>19200</v>
      </c>
      <c r="K301">
        <v>3577.2</v>
      </c>
    </row>
    <row r="302" spans="1:11" x14ac:dyDescent="0.25">
      <c r="A302">
        <v>1301</v>
      </c>
      <c r="B302" t="s">
        <v>245</v>
      </c>
      <c r="C302" t="s">
        <v>26</v>
      </c>
      <c r="D302" t="s">
        <v>13</v>
      </c>
      <c r="E302" t="s">
        <v>34</v>
      </c>
      <c r="F302" t="s">
        <v>24</v>
      </c>
      <c r="G302">
        <v>3</v>
      </c>
      <c r="H302">
        <v>55000</v>
      </c>
      <c r="I302">
        <v>20</v>
      </c>
      <c r="J302">
        <v>132000</v>
      </c>
      <c r="K302">
        <v>19882.12</v>
      </c>
    </row>
    <row r="303" spans="1:11" x14ac:dyDescent="0.25">
      <c r="A303">
        <v>1302</v>
      </c>
      <c r="B303" t="s">
        <v>160</v>
      </c>
      <c r="C303" t="s">
        <v>26</v>
      </c>
      <c r="D303" t="s">
        <v>17</v>
      </c>
      <c r="E303" t="s">
        <v>23</v>
      </c>
      <c r="F303" t="s">
        <v>24</v>
      </c>
      <c r="G303">
        <v>8</v>
      </c>
      <c r="H303">
        <v>12000</v>
      </c>
      <c r="I303">
        <v>0</v>
      </c>
      <c r="J303">
        <v>96000</v>
      </c>
      <c r="K303">
        <v>10275.94</v>
      </c>
    </row>
    <row r="304" spans="1:11" x14ac:dyDescent="0.25">
      <c r="A304">
        <v>1303</v>
      </c>
      <c r="B304" t="s">
        <v>264</v>
      </c>
      <c r="C304" t="s">
        <v>30</v>
      </c>
      <c r="D304" t="s">
        <v>17</v>
      </c>
      <c r="E304" t="s">
        <v>18</v>
      </c>
      <c r="F304" t="s">
        <v>19</v>
      </c>
      <c r="G304">
        <v>9</v>
      </c>
      <c r="H304">
        <v>7000</v>
      </c>
      <c r="I304">
        <v>20</v>
      </c>
      <c r="J304">
        <v>50400</v>
      </c>
      <c r="K304">
        <v>5706.22</v>
      </c>
    </row>
    <row r="305" spans="1:11" x14ac:dyDescent="0.25">
      <c r="A305">
        <v>1304</v>
      </c>
      <c r="B305" t="s">
        <v>178</v>
      </c>
      <c r="C305" t="s">
        <v>36</v>
      </c>
      <c r="D305" t="s">
        <v>13</v>
      </c>
      <c r="E305" t="s">
        <v>23</v>
      </c>
      <c r="F305" t="s">
        <v>24</v>
      </c>
      <c r="G305">
        <v>9</v>
      </c>
      <c r="H305">
        <v>12000</v>
      </c>
      <c r="I305">
        <v>5</v>
      </c>
      <c r="J305">
        <v>102600</v>
      </c>
      <c r="K305">
        <v>11464.59</v>
      </c>
    </row>
    <row r="306" spans="1:11" x14ac:dyDescent="0.25">
      <c r="A306">
        <v>1305</v>
      </c>
      <c r="B306" t="s">
        <v>265</v>
      </c>
      <c r="C306" t="s">
        <v>32</v>
      </c>
      <c r="D306" t="s">
        <v>17</v>
      </c>
      <c r="E306" t="s">
        <v>18</v>
      </c>
      <c r="F306" t="s">
        <v>19</v>
      </c>
      <c r="G306">
        <v>9</v>
      </c>
      <c r="H306">
        <v>7000</v>
      </c>
      <c r="I306">
        <v>0</v>
      </c>
      <c r="J306">
        <v>63000</v>
      </c>
      <c r="K306">
        <v>10255.200000000001</v>
      </c>
    </row>
    <row r="307" spans="1:11" x14ac:dyDescent="0.25">
      <c r="A307">
        <v>1306</v>
      </c>
      <c r="B307" t="s">
        <v>171</v>
      </c>
      <c r="C307" t="s">
        <v>12</v>
      </c>
      <c r="D307" t="s">
        <v>22</v>
      </c>
      <c r="E307" t="s">
        <v>43</v>
      </c>
      <c r="F307" t="s">
        <v>24</v>
      </c>
      <c r="G307">
        <v>9</v>
      </c>
      <c r="H307">
        <v>9000</v>
      </c>
      <c r="I307">
        <v>15</v>
      </c>
      <c r="J307">
        <v>68850</v>
      </c>
      <c r="K307">
        <v>14280</v>
      </c>
    </row>
    <row r="308" spans="1:11" x14ac:dyDescent="0.25">
      <c r="A308">
        <v>1307</v>
      </c>
      <c r="B308" t="s">
        <v>266</v>
      </c>
      <c r="C308" t="s">
        <v>30</v>
      </c>
      <c r="D308" t="s">
        <v>17</v>
      </c>
      <c r="E308" t="s">
        <v>43</v>
      </c>
      <c r="F308" t="s">
        <v>24</v>
      </c>
      <c r="G308">
        <v>8</v>
      </c>
      <c r="H308">
        <v>9000</v>
      </c>
      <c r="I308">
        <v>0</v>
      </c>
      <c r="J308">
        <v>72000</v>
      </c>
      <c r="K308">
        <v>14892.65</v>
      </c>
    </row>
    <row r="309" spans="1:11" x14ac:dyDescent="0.25">
      <c r="A309">
        <v>1308</v>
      </c>
      <c r="B309" t="s">
        <v>267</v>
      </c>
      <c r="C309" t="s">
        <v>45</v>
      </c>
      <c r="D309" t="s">
        <v>17</v>
      </c>
      <c r="E309" t="s">
        <v>34</v>
      </c>
      <c r="F309" t="s">
        <v>24</v>
      </c>
      <c r="G309">
        <v>4</v>
      </c>
      <c r="H309">
        <v>55000</v>
      </c>
      <c r="I309">
        <v>10</v>
      </c>
      <c r="J309">
        <v>198000</v>
      </c>
      <c r="K309">
        <v>27699.25</v>
      </c>
    </row>
    <row r="310" spans="1:11" x14ac:dyDescent="0.25">
      <c r="A310">
        <v>1309</v>
      </c>
      <c r="B310" t="s">
        <v>100</v>
      </c>
      <c r="C310" t="s">
        <v>12</v>
      </c>
      <c r="D310" t="s">
        <v>13</v>
      </c>
      <c r="E310" t="s">
        <v>18</v>
      </c>
      <c r="F310" t="s">
        <v>19</v>
      </c>
      <c r="G310">
        <v>8</v>
      </c>
      <c r="H310">
        <v>7000</v>
      </c>
      <c r="I310">
        <v>15</v>
      </c>
      <c r="J310">
        <v>47600</v>
      </c>
      <c r="K310">
        <v>4160.95</v>
      </c>
    </row>
    <row r="311" spans="1:11" x14ac:dyDescent="0.25">
      <c r="A311">
        <v>1310</v>
      </c>
      <c r="B311" t="s">
        <v>141</v>
      </c>
      <c r="C311" t="s">
        <v>39</v>
      </c>
      <c r="D311" t="s">
        <v>17</v>
      </c>
      <c r="E311" t="s">
        <v>28</v>
      </c>
      <c r="F311" t="s">
        <v>15</v>
      </c>
      <c r="G311">
        <v>7</v>
      </c>
      <c r="H311">
        <v>800</v>
      </c>
      <c r="I311">
        <v>0</v>
      </c>
      <c r="J311">
        <v>5600</v>
      </c>
      <c r="K311">
        <v>1127.4100000000001</v>
      </c>
    </row>
    <row r="312" spans="1:11" x14ac:dyDescent="0.25">
      <c r="A312">
        <v>1311</v>
      </c>
      <c r="B312" t="s">
        <v>268</v>
      </c>
      <c r="C312" t="s">
        <v>21</v>
      </c>
      <c r="D312" t="s">
        <v>22</v>
      </c>
      <c r="E312" t="s">
        <v>23</v>
      </c>
      <c r="F312" t="s">
        <v>24</v>
      </c>
      <c r="G312">
        <v>7</v>
      </c>
      <c r="H312">
        <v>12000</v>
      </c>
      <c r="I312">
        <v>5</v>
      </c>
      <c r="J312">
        <v>79800</v>
      </c>
      <c r="K312">
        <v>8082.32</v>
      </c>
    </row>
    <row r="313" spans="1:11" x14ac:dyDescent="0.25">
      <c r="A313">
        <v>1312</v>
      </c>
      <c r="B313" t="s">
        <v>33</v>
      </c>
      <c r="C313" t="s">
        <v>41</v>
      </c>
      <c r="D313" t="s">
        <v>27</v>
      </c>
      <c r="E313" t="s">
        <v>23</v>
      </c>
      <c r="F313" t="s">
        <v>24</v>
      </c>
      <c r="G313">
        <v>10</v>
      </c>
      <c r="H313">
        <v>12000</v>
      </c>
      <c r="I313">
        <v>10</v>
      </c>
      <c r="J313">
        <v>108000</v>
      </c>
      <c r="K313">
        <v>21069.66</v>
      </c>
    </row>
    <row r="314" spans="1:11" x14ac:dyDescent="0.25">
      <c r="A314">
        <v>1313</v>
      </c>
      <c r="B314" t="s">
        <v>269</v>
      </c>
      <c r="C314" t="s">
        <v>30</v>
      </c>
      <c r="D314" t="s">
        <v>13</v>
      </c>
      <c r="E314" t="s">
        <v>34</v>
      </c>
      <c r="F314" t="s">
        <v>24</v>
      </c>
      <c r="G314">
        <v>5</v>
      </c>
      <c r="H314">
        <v>55000</v>
      </c>
      <c r="I314">
        <v>10</v>
      </c>
      <c r="J314">
        <v>247500</v>
      </c>
      <c r="K314">
        <v>20285.97</v>
      </c>
    </row>
    <row r="315" spans="1:11" x14ac:dyDescent="0.25">
      <c r="A315">
        <v>1314</v>
      </c>
      <c r="B315" t="s">
        <v>131</v>
      </c>
      <c r="C315" t="s">
        <v>21</v>
      </c>
      <c r="D315" t="s">
        <v>22</v>
      </c>
      <c r="E315" t="s">
        <v>14</v>
      </c>
      <c r="F315" t="s">
        <v>15</v>
      </c>
      <c r="G315">
        <v>1</v>
      </c>
      <c r="H315">
        <v>1500</v>
      </c>
      <c r="I315">
        <v>20</v>
      </c>
      <c r="J315">
        <v>1200</v>
      </c>
      <c r="K315">
        <v>203.55</v>
      </c>
    </row>
    <row r="316" spans="1:11" x14ac:dyDescent="0.25">
      <c r="A316">
        <v>1315</v>
      </c>
      <c r="B316" t="s">
        <v>94</v>
      </c>
      <c r="C316" t="s">
        <v>26</v>
      </c>
      <c r="D316" t="s">
        <v>17</v>
      </c>
      <c r="E316" t="s">
        <v>34</v>
      </c>
      <c r="F316" t="s">
        <v>24</v>
      </c>
      <c r="G316">
        <v>10</v>
      </c>
      <c r="H316">
        <v>55000</v>
      </c>
      <c r="I316">
        <v>15</v>
      </c>
      <c r="J316">
        <v>467500</v>
      </c>
      <c r="K316">
        <v>90548.62</v>
      </c>
    </row>
    <row r="317" spans="1:11" x14ac:dyDescent="0.25">
      <c r="A317">
        <v>1316</v>
      </c>
      <c r="B317" t="s">
        <v>270</v>
      </c>
      <c r="C317" t="s">
        <v>47</v>
      </c>
      <c r="D317" t="s">
        <v>27</v>
      </c>
      <c r="E317" t="s">
        <v>14</v>
      </c>
      <c r="F317" t="s">
        <v>15</v>
      </c>
      <c r="G317">
        <v>8</v>
      </c>
      <c r="H317">
        <v>1500</v>
      </c>
      <c r="I317">
        <v>0</v>
      </c>
      <c r="J317">
        <v>12000</v>
      </c>
      <c r="K317">
        <v>1440.26</v>
      </c>
    </row>
    <row r="318" spans="1:11" x14ac:dyDescent="0.25">
      <c r="A318">
        <v>1317</v>
      </c>
      <c r="B318" t="s">
        <v>267</v>
      </c>
      <c r="C318" t="s">
        <v>26</v>
      </c>
      <c r="D318" t="s">
        <v>27</v>
      </c>
      <c r="E318" t="s">
        <v>43</v>
      </c>
      <c r="F318" t="s">
        <v>24</v>
      </c>
      <c r="G318">
        <v>2</v>
      </c>
      <c r="H318">
        <v>9000</v>
      </c>
      <c r="I318">
        <v>0</v>
      </c>
      <c r="J318">
        <v>18000</v>
      </c>
      <c r="K318">
        <v>4389.66</v>
      </c>
    </row>
    <row r="319" spans="1:11" x14ac:dyDescent="0.25">
      <c r="A319">
        <v>1318</v>
      </c>
      <c r="B319" t="s">
        <v>271</v>
      </c>
      <c r="C319" t="s">
        <v>45</v>
      </c>
      <c r="D319" t="s">
        <v>22</v>
      </c>
      <c r="E319" t="s">
        <v>14</v>
      </c>
      <c r="F319" t="s">
        <v>15</v>
      </c>
      <c r="G319">
        <v>7</v>
      </c>
      <c r="H319">
        <v>1500</v>
      </c>
      <c r="I319">
        <v>5</v>
      </c>
      <c r="J319">
        <v>9975</v>
      </c>
      <c r="K319">
        <v>1281.46</v>
      </c>
    </row>
    <row r="320" spans="1:11" x14ac:dyDescent="0.25">
      <c r="A320">
        <v>1319</v>
      </c>
      <c r="B320" t="s">
        <v>272</v>
      </c>
      <c r="C320" t="s">
        <v>41</v>
      </c>
      <c r="D320" t="s">
        <v>17</v>
      </c>
      <c r="E320" t="s">
        <v>28</v>
      </c>
      <c r="F320" t="s">
        <v>15</v>
      </c>
      <c r="G320">
        <v>6</v>
      </c>
      <c r="H320">
        <v>800</v>
      </c>
      <c r="I320">
        <v>0</v>
      </c>
      <c r="J320">
        <v>4800</v>
      </c>
      <c r="K320">
        <v>1032.72</v>
      </c>
    </row>
    <row r="321" spans="1:11" x14ac:dyDescent="0.25">
      <c r="A321">
        <v>1320</v>
      </c>
      <c r="B321" t="s">
        <v>273</v>
      </c>
      <c r="C321" t="s">
        <v>30</v>
      </c>
      <c r="D321" t="s">
        <v>22</v>
      </c>
      <c r="E321" t="s">
        <v>34</v>
      </c>
      <c r="F321" t="s">
        <v>24</v>
      </c>
      <c r="G321">
        <v>3</v>
      </c>
      <c r="H321">
        <v>55000</v>
      </c>
      <c r="I321">
        <v>20</v>
      </c>
      <c r="J321">
        <v>132000</v>
      </c>
      <c r="K321">
        <v>19952.599999999999</v>
      </c>
    </row>
    <row r="322" spans="1:11" x14ac:dyDescent="0.25">
      <c r="A322">
        <v>1321</v>
      </c>
      <c r="B322" t="s">
        <v>274</v>
      </c>
      <c r="C322" t="s">
        <v>26</v>
      </c>
      <c r="D322" t="s">
        <v>22</v>
      </c>
      <c r="E322" t="s">
        <v>34</v>
      </c>
      <c r="F322" t="s">
        <v>24</v>
      </c>
      <c r="G322">
        <v>3</v>
      </c>
      <c r="H322">
        <v>55000</v>
      </c>
      <c r="I322">
        <v>15</v>
      </c>
      <c r="J322">
        <v>140250</v>
      </c>
      <c r="K322">
        <v>34986.76</v>
      </c>
    </row>
    <row r="323" spans="1:11" x14ac:dyDescent="0.25">
      <c r="A323">
        <v>1322</v>
      </c>
      <c r="B323" t="s">
        <v>226</v>
      </c>
      <c r="C323" t="s">
        <v>39</v>
      </c>
      <c r="D323" t="s">
        <v>22</v>
      </c>
      <c r="E323" t="s">
        <v>18</v>
      </c>
      <c r="F323" t="s">
        <v>19</v>
      </c>
      <c r="G323">
        <v>7</v>
      </c>
      <c r="H323">
        <v>7000</v>
      </c>
      <c r="I323">
        <v>10</v>
      </c>
      <c r="J323">
        <v>44100</v>
      </c>
      <c r="K323">
        <v>5953.73</v>
      </c>
    </row>
    <row r="324" spans="1:11" x14ac:dyDescent="0.25">
      <c r="A324">
        <v>1323</v>
      </c>
      <c r="B324" t="s">
        <v>275</v>
      </c>
      <c r="C324" t="s">
        <v>36</v>
      </c>
      <c r="D324" t="s">
        <v>22</v>
      </c>
      <c r="E324" t="s">
        <v>43</v>
      </c>
      <c r="F324" t="s">
        <v>24</v>
      </c>
      <c r="G324">
        <v>5</v>
      </c>
      <c r="H324">
        <v>9000</v>
      </c>
      <c r="I324">
        <v>20</v>
      </c>
      <c r="J324">
        <v>36000</v>
      </c>
      <c r="K324">
        <v>7609.59</v>
      </c>
    </row>
    <row r="325" spans="1:11" x14ac:dyDescent="0.25">
      <c r="A325">
        <v>1324</v>
      </c>
      <c r="B325" t="s">
        <v>276</v>
      </c>
      <c r="C325" t="s">
        <v>12</v>
      </c>
      <c r="D325" t="s">
        <v>22</v>
      </c>
      <c r="E325" t="s">
        <v>34</v>
      </c>
      <c r="F325" t="s">
        <v>24</v>
      </c>
      <c r="G325">
        <v>3</v>
      </c>
      <c r="H325">
        <v>55000</v>
      </c>
      <c r="I325">
        <v>15</v>
      </c>
      <c r="J325">
        <v>140250</v>
      </c>
      <c r="K325">
        <v>22723.7</v>
      </c>
    </row>
    <row r="326" spans="1:11" x14ac:dyDescent="0.25">
      <c r="A326">
        <v>1325</v>
      </c>
      <c r="B326" t="s">
        <v>277</v>
      </c>
      <c r="C326" t="s">
        <v>36</v>
      </c>
      <c r="D326" t="s">
        <v>17</v>
      </c>
      <c r="E326" t="s">
        <v>14</v>
      </c>
      <c r="F326" t="s">
        <v>15</v>
      </c>
      <c r="G326">
        <v>5</v>
      </c>
      <c r="H326">
        <v>1500</v>
      </c>
      <c r="I326">
        <v>0</v>
      </c>
      <c r="J326">
        <v>7500</v>
      </c>
      <c r="K326">
        <v>1009.1</v>
      </c>
    </row>
    <row r="327" spans="1:11" x14ac:dyDescent="0.25">
      <c r="A327">
        <v>1326</v>
      </c>
      <c r="B327" t="s">
        <v>278</v>
      </c>
      <c r="C327" t="s">
        <v>36</v>
      </c>
      <c r="D327" t="s">
        <v>13</v>
      </c>
      <c r="E327" t="s">
        <v>28</v>
      </c>
      <c r="F327" t="s">
        <v>15</v>
      </c>
      <c r="G327">
        <v>5</v>
      </c>
      <c r="H327">
        <v>800</v>
      </c>
      <c r="I327">
        <v>15</v>
      </c>
      <c r="J327">
        <v>3400</v>
      </c>
      <c r="K327">
        <v>361.36</v>
      </c>
    </row>
    <row r="328" spans="1:11" x14ac:dyDescent="0.25">
      <c r="A328">
        <v>1327</v>
      </c>
      <c r="B328" t="s">
        <v>152</v>
      </c>
      <c r="C328" t="s">
        <v>41</v>
      </c>
      <c r="D328" t="s">
        <v>27</v>
      </c>
      <c r="E328" t="s">
        <v>28</v>
      </c>
      <c r="F328" t="s">
        <v>15</v>
      </c>
      <c r="G328">
        <v>5</v>
      </c>
      <c r="H328">
        <v>800</v>
      </c>
      <c r="I328">
        <v>0</v>
      </c>
      <c r="J328">
        <v>4000</v>
      </c>
      <c r="K328">
        <v>922.38</v>
      </c>
    </row>
    <row r="329" spans="1:11" x14ac:dyDescent="0.25">
      <c r="A329">
        <v>1328</v>
      </c>
      <c r="B329" t="s">
        <v>214</v>
      </c>
      <c r="C329" t="s">
        <v>45</v>
      </c>
      <c r="D329" t="s">
        <v>13</v>
      </c>
      <c r="E329" t="s">
        <v>23</v>
      </c>
      <c r="F329" t="s">
        <v>24</v>
      </c>
      <c r="G329">
        <v>3</v>
      </c>
      <c r="H329">
        <v>12000</v>
      </c>
      <c r="I329">
        <v>15</v>
      </c>
      <c r="J329">
        <v>30600</v>
      </c>
      <c r="K329">
        <v>5196.13</v>
      </c>
    </row>
    <row r="330" spans="1:11" x14ac:dyDescent="0.25">
      <c r="A330">
        <v>1329</v>
      </c>
      <c r="B330" t="s">
        <v>279</v>
      </c>
      <c r="C330" t="s">
        <v>47</v>
      </c>
      <c r="D330" t="s">
        <v>17</v>
      </c>
      <c r="E330" t="s">
        <v>28</v>
      </c>
      <c r="F330" t="s">
        <v>15</v>
      </c>
      <c r="G330">
        <v>4</v>
      </c>
      <c r="H330">
        <v>800</v>
      </c>
      <c r="I330">
        <v>5</v>
      </c>
      <c r="J330">
        <v>3040</v>
      </c>
      <c r="K330">
        <v>596.26</v>
      </c>
    </row>
    <row r="331" spans="1:11" x14ac:dyDescent="0.25">
      <c r="A331">
        <v>1330</v>
      </c>
      <c r="B331" t="s">
        <v>106</v>
      </c>
      <c r="C331" t="s">
        <v>45</v>
      </c>
      <c r="D331" t="s">
        <v>17</v>
      </c>
      <c r="E331" t="s">
        <v>23</v>
      </c>
      <c r="F331" t="s">
        <v>24</v>
      </c>
      <c r="G331">
        <v>9</v>
      </c>
      <c r="H331">
        <v>12000</v>
      </c>
      <c r="I331">
        <v>5</v>
      </c>
      <c r="J331">
        <v>102600</v>
      </c>
      <c r="K331">
        <v>22310.25</v>
      </c>
    </row>
    <row r="332" spans="1:11" x14ac:dyDescent="0.25">
      <c r="A332">
        <v>1331</v>
      </c>
      <c r="B332" t="s">
        <v>142</v>
      </c>
      <c r="C332" t="s">
        <v>47</v>
      </c>
      <c r="D332" t="s">
        <v>17</v>
      </c>
      <c r="E332" t="s">
        <v>14</v>
      </c>
      <c r="F332" t="s">
        <v>15</v>
      </c>
      <c r="G332">
        <v>9</v>
      </c>
      <c r="H332">
        <v>1500</v>
      </c>
      <c r="I332">
        <v>20</v>
      </c>
      <c r="J332">
        <v>10800</v>
      </c>
      <c r="K332">
        <v>1231.31</v>
      </c>
    </row>
    <row r="333" spans="1:11" x14ac:dyDescent="0.25">
      <c r="A333">
        <v>1332</v>
      </c>
      <c r="B333" t="s">
        <v>200</v>
      </c>
      <c r="C333" t="s">
        <v>47</v>
      </c>
      <c r="D333" t="s">
        <v>27</v>
      </c>
      <c r="E333" t="s">
        <v>14</v>
      </c>
      <c r="F333" t="s">
        <v>15</v>
      </c>
      <c r="G333">
        <v>3</v>
      </c>
      <c r="H333">
        <v>1500</v>
      </c>
      <c r="I333">
        <v>5</v>
      </c>
      <c r="J333">
        <v>4275</v>
      </c>
      <c r="K333">
        <v>918.62</v>
      </c>
    </row>
    <row r="334" spans="1:11" x14ac:dyDescent="0.25">
      <c r="A334">
        <v>1333</v>
      </c>
      <c r="B334" t="s">
        <v>144</v>
      </c>
      <c r="C334" t="s">
        <v>12</v>
      </c>
      <c r="D334" t="s">
        <v>22</v>
      </c>
      <c r="E334" t="s">
        <v>14</v>
      </c>
      <c r="F334" t="s">
        <v>15</v>
      </c>
      <c r="G334">
        <v>7</v>
      </c>
      <c r="H334">
        <v>1500</v>
      </c>
      <c r="I334">
        <v>15</v>
      </c>
      <c r="J334">
        <v>8925</v>
      </c>
      <c r="K334">
        <v>1802.53</v>
      </c>
    </row>
    <row r="335" spans="1:11" x14ac:dyDescent="0.25">
      <c r="A335">
        <v>1334</v>
      </c>
      <c r="B335" t="s">
        <v>280</v>
      </c>
      <c r="C335" t="s">
        <v>21</v>
      </c>
      <c r="D335" t="s">
        <v>13</v>
      </c>
      <c r="E335" t="s">
        <v>14</v>
      </c>
      <c r="F335" t="s">
        <v>15</v>
      </c>
      <c r="G335">
        <v>4</v>
      </c>
      <c r="H335">
        <v>1500</v>
      </c>
      <c r="I335">
        <v>10</v>
      </c>
      <c r="J335">
        <v>5400</v>
      </c>
      <c r="K335">
        <v>1285.18</v>
      </c>
    </row>
    <row r="336" spans="1:11" x14ac:dyDescent="0.25">
      <c r="A336">
        <v>1335</v>
      </c>
      <c r="B336" t="s">
        <v>91</v>
      </c>
      <c r="C336" t="s">
        <v>30</v>
      </c>
      <c r="D336" t="s">
        <v>13</v>
      </c>
      <c r="E336" t="s">
        <v>23</v>
      </c>
      <c r="F336" t="s">
        <v>24</v>
      </c>
      <c r="G336">
        <v>4</v>
      </c>
      <c r="H336">
        <v>12000</v>
      </c>
      <c r="I336">
        <v>10</v>
      </c>
      <c r="J336">
        <v>43200</v>
      </c>
      <c r="K336">
        <v>3533.35</v>
      </c>
    </row>
    <row r="337" spans="1:11" x14ac:dyDescent="0.25">
      <c r="A337">
        <v>1336</v>
      </c>
      <c r="B337" t="s">
        <v>25</v>
      </c>
      <c r="C337" t="s">
        <v>47</v>
      </c>
      <c r="D337" t="s">
        <v>13</v>
      </c>
      <c r="E337" t="s">
        <v>18</v>
      </c>
      <c r="F337" t="s">
        <v>19</v>
      </c>
      <c r="G337">
        <v>6</v>
      </c>
      <c r="H337">
        <v>7000</v>
      </c>
      <c r="I337">
        <v>15</v>
      </c>
      <c r="J337">
        <v>35700</v>
      </c>
      <c r="K337">
        <v>7362.28</v>
      </c>
    </row>
    <row r="338" spans="1:11" x14ac:dyDescent="0.25">
      <c r="A338">
        <v>1337</v>
      </c>
      <c r="B338" t="s">
        <v>163</v>
      </c>
      <c r="C338" t="s">
        <v>41</v>
      </c>
      <c r="D338" t="s">
        <v>13</v>
      </c>
      <c r="E338" t="s">
        <v>28</v>
      </c>
      <c r="F338" t="s">
        <v>15</v>
      </c>
      <c r="G338">
        <v>5</v>
      </c>
      <c r="H338">
        <v>800</v>
      </c>
      <c r="I338">
        <v>10</v>
      </c>
      <c r="J338">
        <v>3600</v>
      </c>
      <c r="K338">
        <v>319.91000000000003</v>
      </c>
    </row>
    <row r="339" spans="1:11" x14ac:dyDescent="0.25">
      <c r="A339">
        <v>1338</v>
      </c>
      <c r="B339" t="s">
        <v>116</v>
      </c>
      <c r="C339" t="s">
        <v>21</v>
      </c>
      <c r="D339" t="s">
        <v>27</v>
      </c>
      <c r="E339" t="s">
        <v>18</v>
      </c>
      <c r="F339" t="s">
        <v>19</v>
      </c>
      <c r="G339">
        <v>3</v>
      </c>
      <c r="H339">
        <v>7000</v>
      </c>
      <c r="I339">
        <v>0</v>
      </c>
      <c r="J339">
        <v>21000</v>
      </c>
      <c r="K339">
        <v>2670.03</v>
      </c>
    </row>
    <row r="340" spans="1:11" x14ac:dyDescent="0.25">
      <c r="A340">
        <v>1339</v>
      </c>
      <c r="B340" t="s">
        <v>281</v>
      </c>
      <c r="C340" t="s">
        <v>45</v>
      </c>
      <c r="D340" t="s">
        <v>27</v>
      </c>
      <c r="E340" t="s">
        <v>14</v>
      </c>
      <c r="F340" t="s">
        <v>15</v>
      </c>
      <c r="G340">
        <v>10</v>
      </c>
      <c r="H340">
        <v>1500</v>
      </c>
      <c r="I340">
        <v>5</v>
      </c>
      <c r="J340">
        <v>14250</v>
      </c>
      <c r="K340">
        <v>1946.89</v>
      </c>
    </row>
    <row r="341" spans="1:11" x14ac:dyDescent="0.25">
      <c r="A341">
        <v>1340</v>
      </c>
      <c r="B341" t="s">
        <v>250</v>
      </c>
      <c r="C341" t="s">
        <v>45</v>
      </c>
      <c r="D341" t="s">
        <v>22</v>
      </c>
      <c r="E341" t="s">
        <v>28</v>
      </c>
      <c r="F341" t="s">
        <v>15</v>
      </c>
      <c r="G341">
        <v>9</v>
      </c>
      <c r="H341">
        <v>800</v>
      </c>
      <c r="I341">
        <v>20</v>
      </c>
      <c r="J341">
        <v>5760</v>
      </c>
      <c r="K341">
        <v>907.96</v>
      </c>
    </row>
    <row r="342" spans="1:11" x14ac:dyDescent="0.25">
      <c r="A342">
        <v>1341</v>
      </c>
      <c r="B342" t="s">
        <v>135</v>
      </c>
      <c r="C342" t="s">
        <v>21</v>
      </c>
      <c r="D342" t="s">
        <v>27</v>
      </c>
      <c r="E342" t="s">
        <v>43</v>
      </c>
      <c r="F342" t="s">
        <v>24</v>
      </c>
      <c r="G342">
        <v>5</v>
      </c>
      <c r="H342">
        <v>9000</v>
      </c>
      <c r="I342">
        <v>0</v>
      </c>
      <c r="J342">
        <v>45000</v>
      </c>
      <c r="K342">
        <v>8005.9</v>
      </c>
    </row>
    <row r="343" spans="1:11" x14ac:dyDescent="0.25">
      <c r="A343">
        <v>1342</v>
      </c>
      <c r="B343" t="s">
        <v>228</v>
      </c>
      <c r="C343" t="s">
        <v>36</v>
      </c>
      <c r="D343" t="s">
        <v>17</v>
      </c>
      <c r="E343" t="s">
        <v>23</v>
      </c>
      <c r="F343" t="s">
        <v>24</v>
      </c>
      <c r="G343">
        <v>9</v>
      </c>
      <c r="H343">
        <v>12000</v>
      </c>
      <c r="I343">
        <v>10</v>
      </c>
      <c r="J343">
        <v>97200</v>
      </c>
      <c r="K343">
        <v>15253.4</v>
      </c>
    </row>
    <row r="344" spans="1:11" x14ac:dyDescent="0.25">
      <c r="A344">
        <v>1343</v>
      </c>
      <c r="B344" t="s">
        <v>282</v>
      </c>
      <c r="C344" t="s">
        <v>32</v>
      </c>
      <c r="D344" t="s">
        <v>22</v>
      </c>
      <c r="E344" t="s">
        <v>28</v>
      </c>
      <c r="F344" t="s">
        <v>15</v>
      </c>
      <c r="G344">
        <v>5</v>
      </c>
      <c r="H344">
        <v>800</v>
      </c>
      <c r="I344">
        <v>5</v>
      </c>
      <c r="J344">
        <v>3800</v>
      </c>
      <c r="K344">
        <v>637.19000000000005</v>
      </c>
    </row>
    <row r="345" spans="1:11" x14ac:dyDescent="0.25">
      <c r="A345">
        <v>1344</v>
      </c>
      <c r="B345" t="s">
        <v>283</v>
      </c>
      <c r="C345" t="s">
        <v>32</v>
      </c>
      <c r="D345" t="s">
        <v>13</v>
      </c>
      <c r="E345" t="s">
        <v>23</v>
      </c>
      <c r="F345" t="s">
        <v>24</v>
      </c>
      <c r="G345">
        <v>9</v>
      </c>
      <c r="H345">
        <v>12000</v>
      </c>
      <c r="I345">
        <v>5</v>
      </c>
      <c r="J345">
        <v>102600</v>
      </c>
      <c r="K345">
        <v>9444.73</v>
      </c>
    </row>
    <row r="346" spans="1:11" x14ac:dyDescent="0.25">
      <c r="A346">
        <v>1345</v>
      </c>
      <c r="B346" t="s">
        <v>242</v>
      </c>
      <c r="C346" t="s">
        <v>41</v>
      </c>
      <c r="D346" t="s">
        <v>17</v>
      </c>
      <c r="E346" t="s">
        <v>14</v>
      </c>
      <c r="F346" t="s">
        <v>15</v>
      </c>
      <c r="G346">
        <v>4</v>
      </c>
      <c r="H346">
        <v>1500</v>
      </c>
      <c r="I346">
        <v>0</v>
      </c>
      <c r="J346">
        <v>6000</v>
      </c>
      <c r="K346">
        <v>1407.91</v>
      </c>
    </row>
    <row r="347" spans="1:11" x14ac:dyDescent="0.25">
      <c r="A347">
        <v>1346</v>
      </c>
      <c r="B347" t="s">
        <v>195</v>
      </c>
      <c r="C347" t="s">
        <v>32</v>
      </c>
      <c r="D347" t="s">
        <v>13</v>
      </c>
      <c r="E347" t="s">
        <v>43</v>
      </c>
      <c r="F347" t="s">
        <v>24</v>
      </c>
      <c r="G347">
        <v>7</v>
      </c>
      <c r="H347">
        <v>9000</v>
      </c>
      <c r="I347">
        <v>20</v>
      </c>
      <c r="J347">
        <v>50400</v>
      </c>
      <c r="K347">
        <v>9695.65</v>
      </c>
    </row>
    <row r="348" spans="1:11" x14ac:dyDescent="0.25">
      <c r="A348">
        <v>1347</v>
      </c>
      <c r="B348" t="s">
        <v>176</v>
      </c>
      <c r="C348" t="s">
        <v>36</v>
      </c>
      <c r="D348" t="s">
        <v>22</v>
      </c>
      <c r="E348" t="s">
        <v>43</v>
      </c>
      <c r="F348" t="s">
        <v>24</v>
      </c>
      <c r="G348">
        <v>1</v>
      </c>
      <c r="H348">
        <v>9000</v>
      </c>
      <c r="I348">
        <v>10</v>
      </c>
      <c r="J348">
        <v>8100</v>
      </c>
      <c r="K348">
        <v>875.68</v>
      </c>
    </row>
    <row r="349" spans="1:11" x14ac:dyDescent="0.25">
      <c r="A349">
        <v>1348</v>
      </c>
      <c r="B349" t="s">
        <v>284</v>
      </c>
      <c r="C349" t="s">
        <v>12</v>
      </c>
      <c r="D349" t="s">
        <v>22</v>
      </c>
      <c r="E349" t="s">
        <v>23</v>
      </c>
      <c r="F349" t="s">
        <v>24</v>
      </c>
      <c r="G349">
        <v>9</v>
      </c>
      <c r="H349">
        <v>12000</v>
      </c>
      <c r="I349">
        <v>5</v>
      </c>
      <c r="J349">
        <v>102600</v>
      </c>
      <c r="K349">
        <v>25061.79</v>
      </c>
    </row>
    <row r="350" spans="1:11" x14ac:dyDescent="0.25">
      <c r="A350">
        <v>1349</v>
      </c>
      <c r="B350" t="s">
        <v>148</v>
      </c>
      <c r="C350" t="s">
        <v>47</v>
      </c>
      <c r="D350" t="s">
        <v>22</v>
      </c>
      <c r="E350" t="s">
        <v>23</v>
      </c>
      <c r="F350" t="s">
        <v>24</v>
      </c>
      <c r="G350">
        <v>4</v>
      </c>
      <c r="H350">
        <v>12000</v>
      </c>
      <c r="I350">
        <v>10</v>
      </c>
      <c r="J350">
        <v>43200</v>
      </c>
      <c r="K350">
        <v>10344.92</v>
      </c>
    </row>
    <row r="351" spans="1:11" x14ac:dyDescent="0.25">
      <c r="A351">
        <v>1350</v>
      </c>
      <c r="B351" t="s">
        <v>285</v>
      </c>
      <c r="C351" t="s">
        <v>47</v>
      </c>
      <c r="D351" t="s">
        <v>27</v>
      </c>
      <c r="E351" t="s">
        <v>34</v>
      </c>
      <c r="F351" t="s">
        <v>24</v>
      </c>
      <c r="G351">
        <v>7</v>
      </c>
      <c r="H351">
        <v>55000</v>
      </c>
      <c r="I351">
        <v>0</v>
      </c>
      <c r="J351">
        <v>385000</v>
      </c>
      <c r="K351">
        <v>72383.820000000007</v>
      </c>
    </row>
    <row r="352" spans="1:11" x14ac:dyDescent="0.25">
      <c r="A352">
        <v>1351</v>
      </c>
      <c r="B352" t="s">
        <v>172</v>
      </c>
      <c r="C352" t="s">
        <v>32</v>
      </c>
      <c r="D352" t="s">
        <v>13</v>
      </c>
      <c r="E352" t="s">
        <v>14</v>
      </c>
      <c r="F352" t="s">
        <v>15</v>
      </c>
      <c r="G352">
        <v>4</v>
      </c>
      <c r="H352">
        <v>1500</v>
      </c>
      <c r="I352">
        <v>5</v>
      </c>
      <c r="J352">
        <v>5700</v>
      </c>
      <c r="K352">
        <v>926.81</v>
      </c>
    </row>
    <row r="353" spans="1:11" x14ac:dyDescent="0.25">
      <c r="A353">
        <v>1352</v>
      </c>
      <c r="B353" t="s">
        <v>75</v>
      </c>
      <c r="C353" t="s">
        <v>36</v>
      </c>
      <c r="D353" t="s">
        <v>17</v>
      </c>
      <c r="E353" t="s">
        <v>34</v>
      </c>
      <c r="F353" t="s">
        <v>24</v>
      </c>
      <c r="G353">
        <v>2</v>
      </c>
      <c r="H353">
        <v>55000</v>
      </c>
      <c r="I353">
        <v>10</v>
      </c>
      <c r="J353">
        <v>99000</v>
      </c>
      <c r="K353">
        <v>13738.93</v>
      </c>
    </row>
    <row r="354" spans="1:11" x14ac:dyDescent="0.25">
      <c r="A354">
        <v>1353</v>
      </c>
      <c r="B354" t="s">
        <v>85</v>
      </c>
      <c r="C354" t="s">
        <v>21</v>
      </c>
      <c r="D354" t="s">
        <v>22</v>
      </c>
      <c r="E354" t="s">
        <v>34</v>
      </c>
      <c r="F354" t="s">
        <v>24</v>
      </c>
      <c r="G354">
        <v>5</v>
      </c>
      <c r="H354">
        <v>55000</v>
      </c>
      <c r="I354">
        <v>0</v>
      </c>
      <c r="J354">
        <v>275000</v>
      </c>
      <c r="K354">
        <v>50895.29</v>
      </c>
    </row>
    <row r="355" spans="1:11" x14ac:dyDescent="0.25">
      <c r="A355">
        <v>1354</v>
      </c>
      <c r="B355" t="s">
        <v>286</v>
      </c>
      <c r="C355" t="s">
        <v>12</v>
      </c>
      <c r="D355" t="s">
        <v>22</v>
      </c>
      <c r="E355" t="s">
        <v>23</v>
      </c>
      <c r="F355" t="s">
        <v>24</v>
      </c>
      <c r="G355">
        <v>5</v>
      </c>
      <c r="H355">
        <v>12000</v>
      </c>
      <c r="I355">
        <v>10</v>
      </c>
      <c r="J355">
        <v>54000</v>
      </c>
      <c r="K355">
        <v>12376.08</v>
      </c>
    </row>
    <row r="356" spans="1:11" x14ac:dyDescent="0.25">
      <c r="A356">
        <v>1355</v>
      </c>
      <c r="B356" t="s">
        <v>287</v>
      </c>
      <c r="C356" t="s">
        <v>45</v>
      </c>
      <c r="D356" t="s">
        <v>13</v>
      </c>
      <c r="E356" t="s">
        <v>14</v>
      </c>
      <c r="F356" t="s">
        <v>15</v>
      </c>
      <c r="G356">
        <v>8</v>
      </c>
      <c r="H356">
        <v>1500</v>
      </c>
      <c r="I356">
        <v>0</v>
      </c>
      <c r="J356">
        <v>12000</v>
      </c>
      <c r="K356">
        <v>1566.05</v>
      </c>
    </row>
    <row r="357" spans="1:11" x14ac:dyDescent="0.25">
      <c r="A357">
        <v>1356</v>
      </c>
      <c r="B357" t="s">
        <v>288</v>
      </c>
      <c r="C357" t="s">
        <v>41</v>
      </c>
      <c r="D357" t="s">
        <v>13</v>
      </c>
      <c r="E357" t="s">
        <v>34</v>
      </c>
      <c r="F357" t="s">
        <v>24</v>
      </c>
      <c r="G357">
        <v>6</v>
      </c>
      <c r="H357">
        <v>55000</v>
      </c>
      <c r="I357">
        <v>10</v>
      </c>
      <c r="J357">
        <v>297000</v>
      </c>
      <c r="K357">
        <v>61261.45</v>
      </c>
    </row>
    <row r="358" spans="1:11" x14ac:dyDescent="0.25">
      <c r="A358">
        <v>1357</v>
      </c>
      <c r="B358" t="s">
        <v>281</v>
      </c>
      <c r="C358" t="s">
        <v>39</v>
      </c>
      <c r="D358" t="s">
        <v>22</v>
      </c>
      <c r="E358" t="s">
        <v>23</v>
      </c>
      <c r="F358" t="s">
        <v>24</v>
      </c>
      <c r="G358">
        <v>6</v>
      </c>
      <c r="H358">
        <v>12000</v>
      </c>
      <c r="I358">
        <v>10</v>
      </c>
      <c r="J358">
        <v>64800</v>
      </c>
      <c r="K358">
        <v>6563.84</v>
      </c>
    </row>
    <row r="359" spans="1:11" x14ac:dyDescent="0.25">
      <c r="A359">
        <v>1358</v>
      </c>
      <c r="B359" t="s">
        <v>289</v>
      </c>
      <c r="C359" t="s">
        <v>39</v>
      </c>
      <c r="D359" t="s">
        <v>17</v>
      </c>
      <c r="E359" t="s">
        <v>28</v>
      </c>
      <c r="F359" t="s">
        <v>15</v>
      </c>
      <c r="G359">
        <v>6</v>
      </c>
      <c r="H359">
        <v>800</v>
      </c>
      <c r="I359">
        <v>5</v>
      </c>
      <c r="J359">
        <v>4560</v>
      </c>
      <c r="K359">
        <v>961.51</v>
      </c>
    </row>
    <row r="360" spans="1:11" x14ac:dyDescent="0.25">
      <c r="A360">
        <v>1359</v>
      </c>
      <c r="B360" t="s">
        <v>155</v>
      </c>
      <c r="C360" t="s">
        <v>30</v>
      </c>
      <c r="D360" t="s">
        <v>27</v>
      </c>
      <c r="E360" t="s">
        <v>23</v>
      </c>
      <c r="F360" t="s">
        <v>24</v>
      </c>
      <c r="G360">
        <v>6</v>
      </c>
      <c r="H360">
        <v>12000</v>
      </c>
      <c r="I360">
        <v>5</v>
      </c>
      <c r="J360">
        <v>68400</v>
      </c>
      <c r="K360">
        <v>11794.95</v>
      </c>
    </row>
    <row r="361" spans="1:11" x14ac:dyDescent="0.25">
      <c r="A361">
        <v>1360</v>
      </c>
      <c r="B361" t="s">
        <v>290</v>
      </c>
      <c r="C361" t="s">
        <v>32</v>
      </c>
      <c r="D361" t="s">
        <v>27</v>
      </c>
      <c r="E361" t="s">
        <v>43</v>
      </c>
      <c r="F361" t="s">
        <v>24</v>
      </c>
      <c r="G361">
        <v>9</v>
      </c>
      <c r="H361">
        <v>9000</v>
      </c>
      <c r="I361">
        <v>20</v>
      </c>
      <c r="J361">
        <v>64800</v>
      </c>
      <c r="K361">
        <v>12605.66</v>
      </c>
    </row>
    <row r="362" spans="1:11" x14ac:dyDescent="0.25">
      <c r="A362">
        <v>1361</v>
      </c>
      <c r="B362" t="s">
        <v>291</v>
      </c>
      <c r="C362" t="s">
        <v>47</v>
      </c>
      <c r="D362" t="s">
        <v>27</v>
      </c>
      <c r="E362" t="s">
        <v>18</v>
      </c>
      <c r="F362" t="s">
        <v>19</v>
      </c>
      <c r="G362">
        <v>1</v>
      </c>
      <c r="H362">
        <v>7000</v>
      </c>
      <c r="I362">
        <v>20</v>
      </c>
      <c r="J362">
        <v>5600</v>
      </c>
      <c r="K362">
        <v>792.08</v>
      </c>
    </row>
    <row r="363" spans="1:11" x14ac:dyDescent="0.25">
      <c r="A363">
        <v>1362</v>
      </c>
      <c r="B363" t="s">
        <v>137</v>
      </c>
      <c r="C363" t="s">
        <v>39</v>
      </c>
      <c r="D363" t="s">
        <v>17</v>
      </c>
      <c r="E363" t="s">
        <v>28</v>
      </c>
      <c r="F363" t="s">
        <v>15</v>
      </c>
      <c r="G363">
        <v>4</v>
      </c>
      <c r="H363">
        <v>800</v>
      </c>
      <c r="I363">
        <v>20</v>
      </c>
      <c r="J363">
        <v>2560</v>
      </c>
      <c r="K363">
        <v>575.73</v>
      </c>
    </row>
    <row r="364" spans="1:11" x14ac:dyDescent="0.25">
      <c r="A364">
        <v>1363</v>
      </c>
      <c r="B364" t="s">
        <v>292</v>
      </c>
      <c r="C364" t="s">
        <v>12</v>
      </c>
      <c r="D364" t="s">
        <v>13</v>
      </c>
      <c r="E364" t="s">
        <v>43</v>
      </c>
      <c r="F364" t="s">
        <v>24</v>
      </c>
      <c r="G364">
        <v>9</v>
      </c>
      <c r="H364">
        <v>9000</v>
      </c>
      <c r="I364">
        <v>10</v>
      </c>
      <c r="J364">
        <v>72900</v>
      </c>
      <c r="K364">
        <v>10318.86</v>
      </c>
    </row>
    <row r="365" spans="1:11" x14ac:dyDescent="0.25">
      <c r="A365">
        <v>1364</v>
      </c>
      <c r="B365" t="s">
        <v>293</v>
      </c>
      <c r="C365" t="s">
        <v>12</v>
      </c>
      <c r="D365" t="s">
        <v>27</v>
      </c>
      <c r="E365" t="s">
        <v>28</v>
      </c>
      <c r="F365" t="s">
        <v>15</v>
      </c>
      <c r="G365">
        <v>6</v>
      </c>
      <c r="H365">
        <v>800</v>
      </c>
      <c r="I365">
        <v>10</v>
      </c>
      <c r="J365">
        <v>4320</v>
      </c>
      <c r="K365">
        <v>496.57</v>
      </c>
    </row>
    <row r="366" spans="1:11" x14ac:dyDescent="0.25">
      <c r="A366">
        <v>1365</v>
      </c>
      <c r="B366" t="s">
        <v>156</v>
      </c>
      <c r="C366" t="s">
        <v>21</v>
      </c>
      <c r="D366" t="s">
        <v>27</v>
      </c>
      <c r="E366" t="s">
        <v>23</v>
      </c>
      <c r="F366" t="s">
        <v>24</v>
      </c>
      <c r="G366">
        <v>6</v>
      </c>
      <c r="H366">
        <v>12000</v>
      </c>
      <c r="I366">
        <v>0</v>
      </c>
      <c r="J366">
        <v>72000</v>
      </c>
      <c r="K366">
        <v>10012.969999999999</v>
      </c>
    </row>
    <row r="367" spans="1:11" x14ac:dyDescent="0.25">
      <c r="A367">
        <v>1366</v>
      </c>
      <c r="B367" t="s">
        <v>294</v>
      </c>
      <c r="C367" t="s">
        <v>12</v>
      </c>
      <c r="D367" t="s">
        <v>13</v>
      </c>
      <c r="E367" t="s">
        <v>34</v>
      </c>
      <c r="F367" t="s">
        <v>24</v>
      </c>
      <c r="G367">
        <v>4</v>
      </c>
      <c r="H367">
        <v>55000</v>
      </c>
      <c r="I367">
        <v>0</v>
      </c>
      <c r="J367">
        <v>220000</v>
      </c>
      <c r="K367">
        <v>30141.18</v>
      </c>
    </row>
    <row r="368" spans="1:11" x14ac:dyDescent="0.25">
      <c r="A368">
        <v>1367</v>
      </c>
      <c r="B368" t="s">
        <v>295</v>
      </c>
      <c r="C368" t="s">
        <v>30</v>
      </c>
      <c r="D368" t="s">
        <v>17</v>
      </c>
      <c r="E368" t="s">
        <v>43</v>
      </c>
      <c r="F368" t="s">
        <v>24</v>
      </c>
      <c r="G368">
        <v>1</v>
      </c>
      <c r="H368">
        <v>9000</v>
      </c>
      <c r="I368">
        <v>15</v>
      </c>
      <c r="J368">
        <v>7650</v>
      </c>
      <c r="K368">
        <v>1350.71</v>
      </c>
    </row>
    <row r="369" spans="1:11" x14ac:dyDescent="0.25">
      <c r="A369">
        <v>1368</v>
      </c>
      <c r="B369" t="s">
        <v>296</v>
      </c>
      <c r="C369" t="s">
        <v>41</v>
      </c>
      <c r="D369" t="s">
        <v>17</v>
      </c>
      <c r="E369" t="s">
        <v>18</v>
      </c>
      <c r="F369" t="s">
        <v>19</v>
      </c>
      <c r="G369">
        <v>3</v>
      </c>
      <c r="H369">
        <v>7000</v>
      </c>
      <c r="I369">
        <v>15</v>
      </c>
      <c r="J369">
        <v>17850</v>
      </c>
      <c r="K369">
        <v>2908.43</v>
      </c>
    </row>
    <row r="370" spans="1:11" x14ac:dyDescent="0.25">
      <c r="A370">
        <v>1369</v>
      </c>
      <c r="B370" t="s">
        <v>148</v>
      </c>
      <c r="C370" t="s">
        <v>21</v>
      </c>
      <c r="D370" t="s">
        <v>22</v>
      </c>
      <c r="E370" t="s">
        <v>18</v>
      </c>
      <c r="F370" t="s">
        <v>19</v>
      </c>
      <c r="G370">
        <v>3</v>
      </c>
      <c r="H370">
        <v>7000</v>
      </c>
      <c r="I370">
        <v>10</v>
      </c>
      <c r="J370">
        <v>18900</v>
      </c>
      <c r="K370">
        <v>3336.21</v>
      </c>
    </row>
    <row r="371" spans="1:11" x14ac:dyDescent="0.25">
      <c r="A371">
        <v>1370</v>
      </c>
      <c r="B371" t="s">
        <v>158</v>
      </c>
      <c r="C371" t="s">
        <v>30</v>
      </c>
      <c r="D371" t="s">
        <v>22</v>
      </c>
      <c r="E371" t="s">
        <v>28</v>
      </c>
      <c r="F371" t="s">
        <v>15</v>
      </c>
      <c r="G371">
        <v>3</v>
      </c>
      <c r="H371">
        <v>800</v>
      </c>
      <c r="I371">
        <v>10</v>
      </c>
      <c r="J371">
        <v>2160</v>
      </c>
      <c r="K371">
        <v>519.62</v>
      </c>
    </row>
    <row r="372" spans="1:11" x14ac:dyDescent="0.25">
      <c r="A372">
        <v>1371</v>
      </c>
      <c r="B372" t="s">
        <v>220</v>
      </c>
      <c r="C372" t="s">
        <v>45</v>
      </c>
      <c r="D372" t="s">
        <v>27</v>
      </c>
      <c r="E372" t="s">
        <v>14</v>
      </c>
      <c r="F372" t="s">
        <v>15</v>
      </c>
      <c r="G372">
        <v>4</v>
      </c>
      <c r="H372">
        <v>1500</v>
      </c>
      <c r="I372">
        <v>15</v>
      </c>
      <c r="J372">
        <v>5100</v>
      </c>
      <c r="K372">
        <v>872.76</v>
      </c>
    </row>
    <row r="373" spans="1:11" x14ac:dyDescent="0.25">
      <c r="A373">
        <v>1372</v>
      </c>
      <c r="B373" t="s">
        <v>279</v>
      </c>
      <c r="C373" t="s">
        <v>36</v>
      </c>
      <c r="D373" t="s">
        <v>17</v>
      </c>
      <c r="E373" t="s">
        <v>23</v>
      </c>
      <c r="F373" t="s">
        <v>24</v>
      </c>
      <c r="G373">
        <v>6</v>
      </c>
      <c r="H373">
        <v>12000</v>
      </c>
      <c r="I373">
        <v>15</v>
      </c>
      <c r="J373">
        <v>61200</v>
      </c>
      <c r="K373">
        <v>10939.01</v>
      </c>
    </row>
    <row r="374" spans="1:11" x14ac:dyDescent="0.25">
      <c r="A374">
        <v>1373</v>
      </c>
      <c r="B374" t="s">
        <v>183</v>
      </c>
      <c r="C374" t="s">
        <v>26</v>
      </c>
      <c r="D374" t="s">
        <v>27</v>
      </c>
      <c r="E374" t="s">
        <v>14</v>
      </c>
      <c r="F374" t="s">
        <v>15</v>
      </c>
      <c r="G374">
        <v>8</v>
      </c>
      <c r="H374">
        <v>1500</v>
      </c>
      <c r="I374">
        <v>15</v>
      </c>
      <c r="J374">
        <v>10200</v>
      </c>
      <c r="K374">
        <v>2118.4499999999998</v>
      </c>
    </row>
    <row r="375" spans="1:11" x14ac:dyDescent="0.25">
      <c r="A375">
        <v>1374</v>
      </c>
      <c r="B375" t="s">
        <v>297</v>
      </c>
      <c r="C375" t="s">
        <v>12</v>
      </c>
      <c r="D375" t="s">
        <v>22</v>
      </c>
      <c r="E375" t="s">
        <v>14</v>
      </c>
      <c r="F375" t="s">
        <v>15</v>
      </c>
      <c r="G375">
        <v>9</v>
      </c>
      <c r="H375">
        <v>1500</v>
      </c>
      <c r="I375">
        <v>5</v>
      </c>
      <c r="J375">
        <v>12825</v>
      </c>
      <c r="K375">
        <v>2033.28</v>
      </c>
    </row>
    <row r="376" spans="1:11" x14ac:dyDescent="0.25">
      <c r="A376">
        <v>1375</v>
      </c>
      <c r="B376" t="s">
        <v>298</v>
      </c>
      <c r="C376" t="s">
        <v>47</v>
      </c>
      <c r="D376" t="s">
        <v>27</v>
      </c>
      <c r="E376" t="s">
        <v>34</v>
      </c>
      <c r="F376" t="s">
        <v>24</v>
      </c>
      <c r="G376">
        <v>1</v>
      </c>
      <c r="H376">
        <v>55000</v>
      </c>
      <c r="I376">
        <v>5</v>
      </c>
      <c r="J376">
        <v>52250</v>
      </c>
      <c r="K376">
        <v>9672.5</v>
      </c>
    </row>
    <row r="377" spans="1:11" x14ac:dyDescent="0.25">
      <c r="A377">
        <v>1376</v>
      </c>
      <c r="B377" t="s">
        <v>151</v>
      </c>
      <c r="C377" t="s">
        <v>45</v>
      </c>
      <c r="D377" t="s">
        <v>13</v>
      </c>
      <c r="E377" t="s">
        <v>28</v>
      </c>
      <c r="F377" t="s">
        <v>15</v>
      </c>
      <c r="G377">
        <v>10</v>
      </c>
      <c r="H377">
        <v>800</v>
      </c>
      <c r="I377">
        <v>10</v>
      </c>
      <c r="J377">
        <v>7200</v>
      </c>
      <c r="K377">
        <v>964.06</v>
      </c>
    </row>
    <row r="378" spans="1:11" x14ac:dyDescent="0.25">
      <c r="A378">
        <v>1377</v>
      </c>
      <c r="B378" t="s">
        <v>86</v>
      </c>
      <c r="C378" t="s">
        <v>21</v>
      </c>
      <c r="D378" t="s">
        <v>17</v>
      </c>
      <c r="E378" t="s">
        <v>43</v>
      </c>
      <c r="F378" t="s">
        <v>24</v>
      </c>
      <c r="G378">
        <v>5</v>
      </c>
      <c r="H378">
        <v>9000</v>
      </c>
      <c r="I378">
        <v>20</v>
      </c>
      <c r="J378">
        <v>36000</v>
      </c>
      <c r="K378">
        <v>8178.41</v>
      </c>
    </row>
    <row r="379" spans="1:11" x14ac:dyDescent="0.25">
      <c r="A379">
        <v>1378</v>
      </c>
      <c r="B379" t="s">
        <v>299</v>
      </c>
      <c r="C379" t="s">
        <v>21</v>
      </c>
      <c r="D379" t="s">
        <v>27</v>
      </c>
      <c r="E379" t="s">
        <v>23</v>
      </c>
      <c r="F379" t="s">
        <v>24</v>
      </c>
      <c r="G379">
        <v>10</v>
      </c>
      <c r="H379">
        <v>12000</v>
      </c>
      <c r="I379">
        <v>0</v>
      </c>
      <c r="J379">
        <v>120000</v>
      </c>
      <c r="K379">
        <v>28990.18</v>
      </c>
    </row>
    <row r="380" spans="1:11" x14ac:dyDescent="0.25">
      <c r="A380">
        <v>1379</v>
      </c>
      <c r="B380" t="s">
        <v>300</v>
      </c>
      <c r="C380" t="s">
        <v>21</v>
      </c>
      <c r="D380" t="s">
        <v>17</v>
      </c>
      <c r="E380" t="s">
        <v>23</v>
      </c>
      <c r="F380" t="s">
        <v>24</v>
      </c>
      <c r="G380">
        <v>9</v>
      </c>
      <c r="H380">
        <v>12000</v>
      </c>
      <c r="I380">
        <v>15</v>
      </c>
      <c r="J380">
        <v>91800</v>
      </c>
      <c r="K380">
        <v>12222.5</v>
      </c>
    </row>
    <row r="381" spans="1:11" x14ac:dyDescent="0.25">
      <c r="A381">
        <v>1380</v>
      </c>
      <c r="B381" t="s">
        <v>63</v>
      </c>
      <c r="C381" t="s">
        <v>30</v>
      </c>
      <c r="D381" t="s">
        <v>27</v>
      </c>
      <c r="E381" t="s">
        <v>18</v>
      </c>
      <c r="F381" t="s">
        <v>19</v>
      </c>
      <c r="G381">
        <v>2</v>
      </c>
      <c r="H381">
        <v>7000</v>
      </c>
      <c r="I381">
        <v>20</v>
      </c>
      <c r="J381">
        <v>11200</v>
      </c>
      <c r="K381">
        <v>1494.84</v>
      </c>
    </row>
    <row r="382" spans="1:11" x14ac:dyDescent="0.25">
      <c r="A382">
        <v>1381</v>
      </c>
      <c r="B382" t="s">
        <v>204</v>
      </c>
      <c r="C382" t="s">
        <v>39</v>
      </c>
      <c r="D382" t="s">
        <v>13</v>
      </c>
      <c r="E382" t="s">
        <v>34</v>
      </c>
      <c r="F382" t="s">
        <v>24</v>
      </c>
      <c r="G382">
        <v>7</v>
      </c>
      <c r="H382">
        <v>55000</v>
      </c>
      <c r="I382">
        <v>20</v>
      </c>
      <c r="J382">
        <v>308000</v>
      </c>
      <c r="K382">
        <v>60669.760000000002</v>
      </c>
    </row>
    <row r="383" spans="1:11" x14ac:dyDescent="0.25">
      <c r="A383">
        <v>1382</v>
      </c>
      <c r="B383" t="s">
        <v>142</v>
      </c>
      <c r="C383" t="s">
        <v>32</v>
      </c>
      <c r="D383" t="s">
        <v>13</v>
      </c>
      <c r="E383" t="s">
        <v>18</v>
      </c>
      <c r="F383" t="s">
        <v>19</v>
      </c>
      <c r="G383">
        <v>6</v>
      </c>
      <c r="H383">
        <v>7000</v>
      </c>
      <c r="I383">
        <v>0</v>
      </c>
      <c r="J383">
        <v>42000</v>
      </c>
      <c r="K383">
        <v>6905.34</v>
      </c>
    </row>
    <row r="384" spans="1:11" x14ac:dyDescent="0.25">
      <c r="A384">
        <v>1383</v>
      </c>
      <c r="B384" t="s">
        <v>286</v>
      </c>
      <c r="C384" t="s">
        <v>30</v>
      </c>
      <c r="D384" t="s">
        <v>13</v>
      </c>
      <c r="E384" t="s">
        <v>28</v>
      </c>
      <c r="F384" t="s">
        <v>15</v>
      </c>
      <c r="G384">
        <v>3</v>
      </c>
      <c r="H384">
        <v>800</v>
      </c>
      <c r="I384">
        <v>15</v>
      </c>
      <c r="J384">
        <v>2040</v>
      </c>
      <c r="K384">
        <v>172.62</v>
      </c>
    </row>
    <row r="385" spans="1:11" x14ac:dyDescent="0.25">
      <c r="A385">
        <v>1384</v>
      </c>
      <c r="B385" t="s">
        <v>301</v>
      </c>
      <c r="C385" t="s">
        <v>45</v>
      </c>
      <c r="D385" t="s">
        <v>22</v>
      </c>
      <c r="E385" t="s">
        <v>28</v>
      </c>
      <c r="F385" t="s">
        <v>15</v>
      </c>
      <c r="G385">
        <v>2</v>
      </c>
      <c r="H385">
        <v>800</v>
      </c>
      <c r="I385">
        <v>5</v>
      </c>
      <c r="J385">
        <v>1520</v>
      </c>
      <c r="K385">
        <v>138.91999999999999</v>
      </c>
    </row>
    <row r="386" spans="1:11" x14ac:dyDescent="0.25">
      <c r="A386">
        <v>1385</v>
      </c>
      <c r="B386" t="s">
        <v>302</v>
      </c>
      <c r="C386" t="s">
        <v>45</v>
      </c>
      <c r="D386" t="s">
        <v>27</v>
      </c>
      <c r="E386" t="s">
        <v>28</v>
      </c>
      <c r="F386" t="s">
        <v>15</v>
      </c>
      <c r="G386">
        <v>5</v>
      </c>
      <c r="H386">
        <v>800</v>
      </c>
      <c r="I386">
        <v>15</v>
      </c>
      <c r="J386">
        <v>3400</v>
      </c>
      <c r="K386">
        <v>780.97</v>
      </c>
    </row>
    <row r="387" spans="1:11" x14ac:dyDescent="0.25">
      <c r="A387">
        <v>1386</v>
      </c>
      <c r="B387" t="s">
        <v>114</v>
      </c>
      <c r="C387" t="s">
        <v>47</v>
      </c>
      <c r="D387" t="s">
        <v>27</v>
      </c>
      <c r="E387" t="s">
        <v>14</v>
      </c>
      <c r="F387" t="s">
        <v>15</v>
      </c>
      <c r="G387">
        <v>1</v>
      </c>
      <c r="H387">
        <v>1500</v>
      </c>
      <c r="I387">
        <v>5</v>
      </c>
      <c r="J387">
        <v>1425</v>
      </c>
      <c r="K387">
        <v>129.94</v>
      </c>
    </row>
    <row r="388" spans="1:11" x14ac:dyDescent="0.25">
      <c r="A388">
        <v>1387</v>
      </c>
      <c r="B388" t="s">
        <v>189</v>
      </c>
      <c r="C388" t="s">
        <v>12</v>
      </c>
      <c r="D388" t="s">
        <v>13</v>
      </c>
      <c r="E388" t="s">
        <v>34</v>
      </c>
      <c r="F388" t="s">
        <v>24</v>
      </c>
      <c r="G388">
        <v>10</v>
      </c>
      <c r="H388">
        <v>55000</v>
      </c>
      <c r="I388">
        <v>15</v>
      </c>
      <c r="J388">
        <v>467500</v>
      </c>
      <c r="K388">
        <v>43203.53</v>
      </c>
    </row>
    <row r="389" spans="1:11" x14ac:dyDescent="0.25">
      <c r="A389">
        <v>1388</v>
      </c>
      <c r="B389" t="s">
        <v>303</v>
      </c>
      <c r="C389" t="s">
        <v>26</v>
      </c>
      <c r="D389" t="s">
        <v>17</v>
      </c>
      <c r="E389" t="s">
        <v>14</v>
      </c>
      <c r="F389" t="s">
        <v>15</v>
      </c>
      <c r="G389">
        <v>3</v>
      </c>
      <c r="H389">
        <v>1500</v>
      </c>
      <c r="I389">
        <v>10</v>
      </c>
      <c r="J389">
        <v>4050</v>
      </c>
      <c r="K389">
        <v>693.85</v>
      </c>
    </row>
    <row r="390" spans="1:11" x14ac:dyDescent="0.25">
      <c r="A390">
        <v>1389</v>
      </c>
      <c r="B390" t="s">
        <v>180</v>
      </c>
      <c r="C390" t="s">
        <v>36</v>
      </c>
      <c r="D390" t="s">
        <v>13</v>
      </c>
      <c r="E390" t="s">
        <v>14</v>
      </c>
      <c r="F390" t="s">
        <v>15</v>
      </c>
      <c r="G390">
        <v>7</v>
      </c>
      <c r="H390">
        <v>1500</v>
      </c>
      <c r="I390">
        <v>5</v>
      </c>
      <c r="J390">
        <v>9975</v>
      </c>
      <c r="K390">
        <v>897.53</v>
      </c>
    </row>
    <row r="391" spans="1:11" x14ac:dyDescent="0.25">
      <c r="A391">
        <v>1390</v>
      </c>
      <c r="B391" t="s">
        <v>173</v>
      </c>
      <c r="C391" t="s">
        <v>41</v>
      </c>
      <c r="D391" t="s">
        <v>17</v>
      </c>
      <c r="E391" t="s">
        <v>14</v>
      </c>
      <c r="F391" t="s">
        <v>15</v>
      </c>
      <c r="G391">
        <v>2</v>
      </c>
      <c r="H391">
        <v>1500</v>
      </c>
      <c r="I391">
        <v>0</v>
      </c>
      <c r="J391">
        <v>3000</v>
      </c>
      <c r="K391">
        <v>522.39</v>
      </c>
    </row>
    <row r="392" spans="1:11" x14ac:dyDescent="0.25">
      <c r="A392">
        <v>1391</v>
      </c>
      <c r="B392" t="s">
        <v>74</v>
      </c>
      <c r="C392" t="s">
        <v>12</v>
      </c>
      <c r="D392" t="s">
        <v>13</v>
      </c>
      <c r="E392" t="s">
        <v>43</v>
      </c>
      <c r="F392" t="s">
        <v>24</v>
      </c>
      <c r="G392">
        <v>7</v>
      </c>
      <c r="H392">
        <v>9000</v>
      </c>
      <c r="I392">
        <v>15</v>
      </c>
      <c r="J392">
        <v>53550</v>
      </c>
      <c r="K392">
        <v>10750.16</v>
      </c>
    </row>
    <row r="393" spans="1:11" x14ac:dyDescent="0.25">
      <c r="A393">
        <v>1392</v>
      </c>
      <c r="B393" t="s">
        <v>160</v>
      </c>
      <c r="C393" t="s">
        <v>26</v>
      </c>
      <c r="D393" t="s">
        <v>22</v>
      </c>
      <c r="E393" t="s">
        <v>23</v>
      </c>
      <c r="F393" t="s">
        <v>24</v>
      </c>
      <c r="G393">
        <v>7</v>
      </c>
      <c r="H393">
        <v>12000</v>
      </c>
      <c r="I393">
        <v>0</v>
      </c>
      <c r="J393">
        <v>84000</v>
      </c>
      <c r="K393">
        <v>20087.12</v>
      </c>
    </row>
    <row r="394" spans="1:11" x14ac:dyDescent="0.25">
      <c r="A394">
        <v>1393</v>
      </c>
      <c r="B394" t="s">
        <v>128</v>
      </c>
      <c r="C394" t="s">
        <v>41</v>
      </c>
      <c r="D394" t="s">
        <v>22</v>
      </c>
      <c r="E394" t="s">
        <v>18</v>
      </c>
      <c r="F394" t="s">
        <v>19</v>
      </c>
      <c r="G394">
        <v>4</v>
      </c>
      <c r="H394">
        <v>7000</v>
      </c>
      <c r="I394">
        <v>20</v>
      </c>
      <c r="J394">
        <v>22400</v>
      </c>
      <c r="K394">
        <v>4862.3999999999996</v>
      </c>
    </row>
    <row r="395" spans="1:11" x14ac:dyDescent="0.25">
      <c r="A395">
        <v>1394</v>
      </c>
      <c r="B395" t="s">
        <v>66</v>
      </c>
      <c r="C395" t="s">
        <v>45</v>
      </c>
      <c r="D395" t="s">
        <v>17</v>
      </c>
      <c r="E395" t="s">
        <v>18</v>
      </c>
      <c r="F395" t="s">
        <v>19</v>
      </c>
      <c r="G395">
        <v>8</v>
      </c>
      <c r="H395">
        <v>7000</v>
      </c>
      <c r="I395">
        <v>10</v>
      </c>
      <c r="J395">
        <v>50400</v>
      </c>
      <c r="K395">
        <v>10226.43</v>
      </c>
    </row>
    <row r="396" spans="1:11" x14ac:dyDescent="0.25">
      <c r="A396">
        <v>1395</v>
      </c>
      <c r="B396" t="s">
        <v>304</v>
      </c>
      <c r="C396" t="s">
        <v>12</v>
      </c>
      <c r="D396" t="s">
        <v>13</v>
      </c>
      <c r="E396" t="s">
        <v>23</v>
      </c>
      <c r="F396" t="s">
        <v>24</v>
      </c>
      <c r="G396">
        <v>1</v>
      </c>
      <c r="H396">
        <v>12000</v>
      </c>
      <c r="I396">
        <v>10</v>
      </c>
      <c r="J396">
        <v>10800</v>
      </c>
      <c r="K396">
        <v>1493.07</v>
      </c>
    </row>
    <row r="397" spans="1:11" x14ac:dyDescent="0.25">
      <c r="A397">
        <v>1396</v>
      </c>
      <c r="B397" t="s">
        <v>134</v>
      </c>
      <c r="C397" t="s">
        <v>47</v>
      </c>
      <c r="D397" t="s">
        <v>22</v>
      </c>
      <c r="E397" t="s">
        <v>14</v>
      </c>
      <c r="F397" t="s">
        <v>15</v>
      </c>
      <c r="G397">
        <v>2</v>
      </c>
      <c r="H397">
        <v>1500</v>
      </c>
      <c r="I397">
        <v>10</v>
      </c>
      <c r="J397">
        <v>2700</v>
      </c>
      <c r="K397">
        <v>309.11</v>
      </c>
    </row>
    <row r="398" spans="1:11" x14ac:dyDescent="0.25">
      <c r="A398">
        <v>1397</v>
      </c>
      <c r="B398" t="s">
        <v>305</v>
      </c>
      <c r="C398" t="s">
        <v>41</v>
      </c>
      <c r="D398" t="s">
        <v>22</v>
      </c>
      <c r="E398" t="s">
        <v>18</v>
      </c>
      <c r="F398" t="s">
        <v>19</v>
      </c>
      <c r="G398">
        <v>2</v>
      </c>
      <c r="H398">
        <v>7000</v>
      </c>
      <c r="I398">
        <v>15</v>
      </c>
      <c r="J398">
        <v>11900</v>
      </c>
      <c r="K398">
        <v>2304.31</v>
      </c>
    </row>
    <row r="399" spans="1:11" x14ac:dyDescent="0.25">
      <c r="A399">
        <v>1398</v>
      </c>
      <c r="B399" t="s">
        <v>306</v>
      </c>
      <c r="C399" t="s">
        <v>36</v>
      </c>
      <c r="D399" t="s">
        <v>13</v>
      </c>
      <c r="E399" t="s">
        <v>14</v>
      </c>
      <c r="F399" t="s">
        <v>15</v>
      </c>
      <c r="G399">
        <v>7</v>
      </c>
      <c r="H399">
        <v>1500</v>
      </c>
      <c r="I399">
        <v>10</v>
      </c>
      <c r="J399">
        <v>9450</v>
      </c>
      <c r="K399">
        <v>1377</v>
      </c>
    </row>
    <row r="400" spans="1:11" x14ac:dyDescent="0.25">
      <c r="A400">
        <v>1399</v>
      </c>
      <c r="B400" t="s">
        <v>69</v>
      </c>
      <c r="C400" t="s">
        <v>21</v>
      </c>
      <c r="D400" t="s">
        <v>13</v>
      </c>
      <c r="E400" t="s">
        <v>34</v>
      </c>
      <c r="F400" t="s">
        <v>24</v>
      </c>
      <c r="G400">
        <v>10</v>
      </c>
      <c r="H400">
        <v>55000</v>
      </c>
      <c r="I400">
        <v>15</v>
      </c>
      <c r="J400">
        <v>467500</v>
      </c>
      <c r="K400">
        <v>63109.95</v>
      </c>
    </row>
    <row r="401" spans="1:11" x14ac:dyDescent="0.25">
      <c r="A401">
        <v>1400</v>
      </c>
      <c r="B401" t="s">
        <v>307</v>
      </c>
      <c r="C401" t="s">
        <v>32</v>
      </c>
      <c r="D401" t="s">
        <v>13</v>
      </c>
      <c r="E401" t="s">
        <v>23</v>
      </c>
      <c r="F401" t="s">
        <v>24</v>
      </c>
      <c r="G401">
        <v>8</v>
      </c>
      <c r="H401">
        <v>12000</v>
      </c>
      <c r="I401">
        <v>5</v>
      </c>
      <c r="J401">
        <v>91200</v>
      </c>
      <c r="K401">
        <v>14584.49</v>
      </c>
    </row>
    <row r="402" spans="1:11" x14ac:dyDescent="0.25">
      <c r="A402">
        <v>1401</v>
      </c>
      <c r="B402" t="s">
        <v>308</v>
      </c>
      <c r="C402" t="s">
        <v>41</v>
      </c>
      <c r="D402" t="s">
        <v>27</v>
      </c>
      <c r="E402" t="s">
        <v>18</v>
      </c>
      <c r="F402" t="s">
        <v>19</v>
      </c>
      <c r="G402">
        <v>7</v>
      </c>
      <c r="H402">
        <v>7000</v>
      </c>
      <c r="I402">
        <v>5</v>
      </c>
      <c r="J402">
        <v>46550</v>
      </c>
      <c r="K402">
        <v>6715.39</v>
      </c>
    </row>
    <row r="403" spans="1:11" x14ac:dyDescent="0.25">
      <c r="A403">
        <v>1402</v>
      </c>
      <c r="B403" t="s">
        <v>309</v>
      </c>
      <c r="C403" t="s">
        <v>30</v>
      </c>
      <c r="D403" t="s">
        <v>17</v>
      </c>
      <c r="E403" t="s">
        <v>14</v>
      </c>
      <c r="F403" t="s">
        <v>15</v>
      </c>
      <c r="G403">
        <v>8</v>
      </c>
      <c r="H403">
        <v>1500</v>
      </c>
      <c r="I403">
        <v>20</v>
      </c>
      <c r="J403">
        <v>9600</v>
      </c>
      <c r="K403">
        <v>977.5</v>
      </c>
    </row>
    <row r="404" spans="1:11" x14ac:dyDescent="0.25">
      <c r="A404">
        <v>1403</v>
      </c>
      <c r="B404" t="s">
        <v>310</v>
      </c>
      <c r="C404" t="s">
        <v>47</v>
      </c>
      <c r="D404" t="s">
        <v>17</v>
      </c>
      <c r="E404" t="s">
        <v>28</v>
      </c>
      <c r="F404" t="s">
        <v>15</v>
      </c>
      <c r="G404">
        <v>4</v>
      </c>
      <c r="H404">
        <v>800</v>
      </c>
      <c r="I404">
        <v>0</v>
      </c>
      <c r="J404">
        <v>3200</v>
      </c>
      <c r="K404">
        <v>340.53</v>
      </c>
    </row>
    <row r="405" spans="1:11" x14ac:dyDescent="0.25">
      <c r="A405">
        <v>1404</v>
      </c>
      <c r="B405" t="s">
        <v>311</v>
      </c>
      <c r="C405" t="s">
        <v>41</v>
      </c>
      <c r="D405" t="s">
        <v>17</v>
      </c>
      <c r="E405" t="s">
        <v>28</v>
      </c>
      <c r="F405" t="s">
        <v>15</v>
      </c>
      <c r="G405">
        <v>3</v>
      </c>
      <c r="H405">
        <v>800</v>
      </c>
      <c r="I405">
        <v>20</v>
      </c>
      <c r="J405">
        <v>1920</v>
      </c>
      <c r="K405">
        <v>179.79</v>
      </c>
    </row>
    <row r="406" spans="1:11" x14ac:dyDescent="0.25">
      <c r="A406">
        <v>1405</v>
      </c>
      <c r="B406" t="s">
        <v>274</v>
      </c>
      <c r="C406" t="s">
        <v>12</v>
      </c>
      <c r="D406" t="s">
        <v>17</v>
      </c>
      <c r="E406" t="s">
        <v>23</v>
      </c>
      <c r="F406" t="s">
        <v>24</v>
      </c>
      <c r="G406">
        <v>6</v>
      </c>
      <c r="H406">
        <v>12000</v>
      </c>
      <c r="I406">
        <v>5</v>
      </c>
      <c r="J406">
        <v>68400</v>
      </c>
      <c r="K406">
        <v>6946.94</v>
      </c>
    </row>
    <row r="407" spans="1:11" x14ac:dyDescent="0.25">
      <c r="A407">
        <v>1406</v>
      </c>
      <c r="B407" t="s">
        <v>221</v>
      </c>
      <c r="C407" t="s">
        <v>12</v>
      </c>
      <c r="D407" t="s">
        <v>13</v>
      </c>
      <c r="E407" t="s">
        <v>34</v>
      </c>
      <c r="F407" t="s">
        <v>24</v>
      </c>
      <c r="G407">
        <v>3</v>
      </c>
      <c r="H407">
        <v>55000</v>
      </c>
      <c r="I407">
        <v>0</v>
      </c>
      <c r="J407">
        <v>165000</v>
      </c>
      <c r="K407">
        <v>16849.13</v>
      </c>
    </row>
    <row r="408" spans="1:11" x14ac:dyDescent="0.25">
      <c r="A408">
        <v>1407</v>
      </c>
      <c r="B408" t="s">
        <v>113</v>
      </c>
      <c r="C408" t="s">
        <v>39</v>
      </c>
      <c r="D408" t="s">
        <v>17</v>
      </c>
      <c r="E408" t="s">
        <v>43</v>
      </c>
      <c r="F408" t="s">
        <v>24</v>
      </c>
      <c r="G408">
        <v>2</v>
      </c>
      <c r="H408">
        <v>9000</v>
      </c>
      <c r="I408">
        <v>5</v>
      </c>
      <c r="J408">
        <v>17100</v>
      </c>
      <c r="K408">
        <v>3861.37</v>
      </c>
    </row>
    <row r="409" spans="1:11" x14ac:dyDescent="0.25">
      <c r="A409">
        <v>1408</v>
      </c>
      <c r="B409" t="s">
        <v>131</v>
      </c>
      <c r="C409" t="s">
        <v>26</v>
      </c>
      <c r="D409" t="s">
        <v>22</v>
      </c>
      <c r="E409" t="s">
        <v>14</v>
      </c>
      <c r="F409" t="s">
        <v>15</v>
      </c>
      <c r="G409">
        <v>10</v>
      </c>
      <c r="H409">
        <v>1500</v>
      </c>
      <c r="I409">
        <v>0</v>
      </c>
      <c r="J409">
        <v>15000</v>
      </c>
      <c r="K409">
        <v>2867.51</v>
      </c>
    </row>
    <row r="410" spans="1:11" x14ac:dyDescent="0.25">
      <c r="A410">
        <v>1409</v>
      </c>
      <c r="B410" t="s">
        <v>312</v>
      </c>
      <c r="C410" t="s">
        <v>26</v>
      </c>
      <c r="D410" t="s">
        <v>17</v>
      </c>
      <c r="E410" t="s">
        <v>23</v>
      </c>
      <c r="F410" t="s">
        <v>24</v>
      </c>
      <c r="G410">
        <v>2</v>
      </c>
      <c r="H410">
        <v>12000</v>
      </c>
      <c r="I410">
        <v>5</v>
      </c>
      <c r="J410">
        <v>22800</v>
      </c>
      <c r="K410">
        <v>5427.52</v>
      </c>
    </row>
    <row r="411" spans="1:11" x14ac:dyDescent="0.25">
      <c r="A411">
        <v>1410</v>
      </c>
      <c r="B411" t="s">
        <v>168</v>
      </c>
      <c r="C411" t="s">
        <v>47</v>
      </c>
      <c r="D411" t="s">
        <v>13</v>
      </c>
      <c r="E411" t="s">
        <v>34</v>
      </c>
      <c r="F411" t="s">
        <v>24</v>
      </c>
      <c r="G411">
        <v>4</v>
      </c>
      <c r="H411">
        <v>55000</v>
      </c>
      <c r="I411">
        <v>20</v>
      </c>
      <c r="J411">
        <v>176000</v>
      </c>
      <c r="K411">
        <v>17707.72</v>
      </c>
    </row>
    <row r="412" spans="1:11" x14ac:dyDescent="0.25">
      <c r="A412">
        <v>1411</v>
      </c>
      <c r="B412" t="s">
        <v>206</v>
      </c>
      <c r="C412" t="s">
        <v>47</v>
      </c>
      <c r="D412" t="s">
        <v>27</v>
      </c>
      <c r="E412" t="s">
        <v>14</v>
      </c>
      <c r="F412" t="s">
        <v>15</v>
      </c>
      <c r="G412">
        <v>3</v>
      </c>
      <c r="H412">
        <v>1500</v>
      </c>
      <c r="I412">
        <v>20</v>
      </c>
      <c r="J412">
        <v>3600</v>
      </c>
      <c r="K412">
        <v>895.19</v>
      </c>
    </row>
    <row r="413" spans="1:11" x14ac:dyDescent="0.25">
      <c r="A413">
        <v>1412</v>
      </c>
      <c r="B413" t="s">
        <v>313</v>
      </c>
      <c r="C413" t="s">
        <v>12</v>
      </c>
      <c r="D413" t="s">
        <v>17</v>
      </c>
      <c r="E413" t="s">
        <v>18</v>
      </c>
      <c r="F413" t="s">
        <v>19</v>
      </c>
      <c r="G413">
        <v>3</v>
      </c>
      <c r="H413">
        <v>7000</v>
      </c>
      <c r="I413">
        <v>5</v>
      </c>
      <c r="J413">
        <v>19950</v>
      </c>
      <c r="K413">
        <v>4453.51</v>
      </c>
    </row>
    <row r="414" spans="1:11" x14ac:dyDescent="0.25">
      <c r="A414">
        <v>1413</v>
      </c>
      <c r="B414" t="s">
        <v>314</v>
      </c>
      <c r="C414" t="s">
        <v>30</v>
      </c>
      <c r="D414" t="s">
        <v>22</v>
      </c>
      <c r="E414" t="s">
        <v>23</v>
      </c>
      <c r="F414" t="s">
        <v>24</v>
      </c>
      <c r="G414">
        <v>6</v>
      </c>
      <c r="H414">
        <v>12000</v>
      </c>
      <c r="I414">
        <v>10</v>
      </c>
      <c r="J414">
        <v>64800</v>
      </c>
      <c r="K414">
        <v>15533.58</v>
      </c>
    </row>
    <row r="415" spans="1:11" x14ac:dyDescent="0.25">
      <c r="A415">
        <v>1414</v>
      </c>
      <c r="B415" t="s">
        <v>223</v>
      </c>
      <c r="C415" t="s">
        <v>32</v>
      </c>
      <c r="D415" t="s">
        <v>27</v>
      </c>
      <c r="E415" t="s">
        <v>18</v>
      </c>
      <c r="F415" t="s">
        <v>19</v>
      </c>
      <c r="G415">
        <v>9</v>
      </c>
      <c r="H415">
        <v>7000</v>
      </c>
      <c r="I415">
        <v>10</v>
      </c>
      <c r="J415">
        <v>56700</v>
      </c>
      <c r="K415">
        <v>7465.9</v>
      </c>
    </row>
    <row r="416" spans="1:11" x14ac:dyDescent="0.25">
      <c r="A416">
        <v>1415</v>
      </c>
      <c r="B416" t="s">
        <v>301</v>
      </c>
      <c r="C416" t="s">
        <v>36</v>
      </c>
      <c r="D416" t="s">
        <v>22</v>
      </c>
      <c r="E416" t="s">
        <v>43</v>
      </c>
      <c r="F416" t="s">
        <v>24</v>
      </c>
      <c r="G416">
        <v>6</v>
      </c>
      <c r="H416">
        <v>9000</v>
      </c>
      <c r="I416">
        <v>10</v>
      </c>
      <c r="J416">
        <v>48600</v>
      </c>
      <c r="K416">
        <v>7881.81</v>
      </c>
    </row>
    <row r="417" spans="1:11" x14ac:dyDescent="0.25">
      <c r="A417">
        <v>1416</v>
      </c>
      <c r="B417" t="s">
        <v>315</v>
      </c>
      <c r="C417" t="s">
        <v>26</v>
      </c>
      <c r="D417" t="s">
        <v>17</v>
      </c>
      <c r="E417" t="s">
        <v>18</v>
      </c>
      <c r="F417" t="s">
        <v>19</v>
      </c>
      <c r="G417">
        <v>4</v>
      </c>
      <c r="H417">
        <v>7000</v>
      </c>
      <c r="I417">
        <v>5</v>
      </c>
      <c r="J417">
        <v>26600</v>
      </c>
      <c r="K417">
        <v>4139.24</v>
      </c>
    </row>
    <row r="418" spans="1:11" x14ac:dyDescent="0.25">
      <c r="A418">
        <v>1417</v>
      </c>
      <c r="B418" t="s">
        <v>316</v>
      </c>
      <c r="C418" t="s">
        <v>41</v>
      </c>
      <c r="D418" t="s">
        <v>13</v>
      </c>
      <c r="E418" t="s">
        <v>43</v>
      </c>
      <c r="F418" t="s">
        <v>24</v>
      </c>
      <c r="G418">
        <v>5</v>
      </c>
      <c r="H418">
        <v>9000</v>
      </c>
      <c r="I418">
        <v>20</v>
      </c>
      <c r="J418">
        <v>36000</v>
      </c>
      <c r="K418">
        <v>4411.3500000000004</v>
      </c>
    </row>
    <row r="419" spans="1:11" x14ac:dyDescent="0.25">
      <c r="A419">
        <v>1418</v>
      </c>
      <c r="B419" t="s">
        <v>317</v>
      </c>
      <c r="C419" t="s">
        <v>21</v>
      </c>
      <c r="D419" t="s">
        <v>17</v>
      </c>
      <c r="E419" t="s">
        <v>43</v>
      </c>
      <c r="F419" t="s">
        <v>24</v>
      </c>
      <c r="G419">
        <v>6</v>
      </c>
      <c r="H419">
        <v>9000</v>
      </c>
      <c r="I419">
        <v>10</v>
      </c>
      <c r="J419">
        <v>48600</v>
      </c>
      <c r="K419">
        <v>4391.72</v>
      </c>
    </row>
    <row r="420" spans="1:11" x14ac:dyDescent="0.25">
      <c r="A420">
        <v>1419</v>
      </c>
      <c r="B420" t="s">
        <v>318</v>
      </c>
      <c r="C420" t="s">
        <v>36</v>
      </c>
      <c r="D420" t="s">
        <v>17</v>
      </c>
      <c r="E420" t="s">
        <v>34</v>
      </c>
      <c r="F420" t="s">
        <v>24</v>
      </c>
      <c r="G420">
        <v>7</v>
      </c>
      <c r="H420">
        <v>55000</v>
      </c>
      <c r="I420">
        <v>10</v>
      </c>
      <c r="J420">
        <v>346500</v>
      </c>
      <c r="K420">
        <v>38351.14</v>
      </c>
    </row>
    <row r="421" spans="1:11" x14ac:dyDescent="0.25">
      <c r="A421">
        <v>1420</v>
      </c>
      <c r="B421" t="s">
        <v>287</v>
      </c>
      <c r="C421" t="s">
        <v>41</v>
      </c>
      <c r="D421" t="s">
        <v>27</v>
      </c>
      <c r="E421" t="s">
        <v>28</v>
      </c>
      <c r="F421" t="s">
        <v>15</v>
      </c>
      <c r="G421">
        <v>9</v>
      </c>
      <c r="H421">
        <v>800</v>
      </c>
      <c r="I421">
        <v>0</v>
      </c>
      <c r="J421">
        <v>7200</v>
      </c>
      <c r="K421">
        <v>955.1</v>
      </c>
    </row>
    <row r="422" spans="1:11" x14ac:dyDescent="0.25">
      <c r="A422">
        <v>1421</v>
      </c>
      <c r="B422" t="s">
        <v>64</v>
      </c>
      <c r="C422" t="s">
        <v>36</v>
      </c>
      <c r="D422" t="s">
        <v>22</v>
      </c>
      <c r="E422" t="s">
        <v>43</v>
      </c>
      <c r="F422" t="s">
        <v>24</v>
      </c>
      <c r="G422">
        <v>3</v>
      </c>
      <c r="H422">
        <v>9000</v>
      </c>
      <c r="I422">
        <v>10</v>
      </c>
      <c r="J422">
        <v>24300</v>
      </c>
      <c r="K422">
        <v>2771.12</v>
      </c>
    </row>
    <row r="423" spans="1:11" x14ac:dyDescent="0.25">
      <c r="A423">
        <v>1422</v>
      </c>
      <c r="B423" t="s">
        <v>319</v>
      </c>
      <c r="C423" t="s">
        <v>30</v>
      </c>
      <c r="D423" t="s">
        <v>22</v>
      </c>
      <c r="E423" t="s">
        <v>23</v>
      </c>
      <c r="F423" t="s">
        <v>24</v>
      </c>
      <c r="G423">
        <v>1</v>
      </c>
      <c r="H423">
        <v>12000</v>
      </c>
      <c r="I423">
        <v>15</v>
      </c>
      <c r="J423">
        <v>10200</v>
      </c>
      <c r="K423">
        <v>994.07</v>
      </c>
    </row>
    <row r="424" spans="1:11" x14ac:dyDescent="0.25">
      <c r="A424">
        <v>1423</v>
      </c>
      <c r="B424" t="s">
        <v>84</v>
      </c>
      <c r="C424" t="s">
        <v>39</v>
      </c>
      <c r="D424" t="s">
        <v>27</v>
      </c>
      <c r="E424" t="s">
        <v>23</v>
      </c>
      <c r="F424" t="s">
        <v>24</v>
      </c>
      <c r="G424">
        <v>10</v>
      </c>
      <c r="H424">
        <v>12000</v>
      </c>
      <c r="I424">
        <v>5</v>
      </c>
      <c r="J424">
        <v>114000</v>
      </c>
      <c r="K424">
        <v>12379.41</v>
      </c>
    </row>
    <row r="425" spans="1:11" x14ac:dyDescent="0.25">
      <c r="A425">
        <v>1424</v>
      </c>
      <c r="B425" t="s">
        <v>247</v>
      </c>
      <c r="C425" t="s">
        <v>45</v>
      </c>
      <c r="D425" t="s">
        <v>17</v>
      </c>
      <c r="E425" t="s">
        <v>23</v>
      </c>
      <c r="F425" t="s">
        <v>24</v>
      </c>
      <c r="G425">
        <v>2</v>
      </c>
      <c r="H425">
        <v>12000</v>
      </c>
      <c r="I425">
        <v>10</v>
      </c>
      <c r="J425">
        <v>21600</v>
      </c>
      <c r="K425">
        <v>1925.91</v>
      </c>
    </row>
    <row r="426" spans="1:11" x14ac:dyDescent="0.25">
      <c r="A426">
        <v>1425</v>
      </c>
      <c r="B426" t="s">
        <v>228</v>
      </c>
      <c r="C426" t="s">
        <v>30</v>
      </c>
      <c r="D426" t="s">
        <v>13</v>
      </c>
      <c r="E426" t="s">
        <v>18</v>
      </c>
      <c r="F426" t="s">
        <v>19</v>
      </c>
      <c r="G426">
        <v>2</v>
      </c>
      <c r="H426">
        <v>7000</v>
      </c>
      <c r="I426">
        <v>5</v>
      </c>
      <c r="J426">
        <v>13300</v>
      </c>
      <c r="K426">
        <v>2426.98</v>
      </c>
    </row>
    <row r="427" spans="1:11" x14ac:dyDescent="0.25">
      <c r="A427">
        <v>1426</v>
      </c>
      <c r="B427" t="s">
        <v>320</v>
      </c>
      <c r="C427" t="s">
        <v>41</v>
      </c>
      <c r="D427" t="s">
        <v>22</v>
      </c>
      <c r="E427" t="s">
        <v>34</v>
      </c>
      <c r="F427" t="s">
        <v>24</v>
      </c>
      <c r="G427">
        <v>1</v>
      </c>
      <c r="H427">
        <v>55000</v>
      </c>
      <c r="I427">
        <v>15</v>
      </c>
      <c r="J427">
        <v>46750</v>
      </c>
      <c r="K427">
        <v>4004.79</v>
      </c>
    </row>
    <row r="428" spans="1:11" x14ac:dyDescent="0.25">
      <c r="A428">
        <v>1427</v>
      </c>
      <c r="B428" t="s">
        <v>221</v>
      </c>
      <c r="C428" t="s">
        <v>12</v>
      </c>
      <c r="D428" t="s">
        <v>13</v>
      </c>
      <c r="E428" t="s">
        <v>28</v>
      </c>
      <c r="F428" t="s">
        <v>15</v>
      </c>
      <c r="G428">
        <v>2</v>
      </c>
      <c r="H428">
        <v>800</v>
      </c>
      <c r="I428">
        <v>0</v>
      </c>
      <c r="J428">
        <v>1600</v>
      </c>
      <c r="K428">
        <v>310.93</v>
      </c>
    </row>
    <row r="429" spans="1:11" x14ac:dyDescent="0.25">
      <c r="A429">
        <v>1428</v>
      </c>
      <c r="B429" t="s">
        <v>321</v>
      </c>
      <c r="C429" t="s">
        <v>32</v>
      </c>
      <c r="D429" t="s">
        <v>22</v>
      </c>
      <c r="E429" t="s">
        <v>23</v>
      </c>
      <c r="F429" t="s">
        <v>24</v>
      </c>
      <c r="G429">
        <v>10</v>
      </c>
      <c r="H429">
        <v>12000</v>
      </c>
      <c r="I429">
        <v>10</v>
      </c>
      <c r="J429">
        <v>108000</v>
      </c>
      <c r="K429">
        <v>13078.82</v>
      </c>
    </row>
    <row r="430" spans="1:11" x14ac:dyDescent="0.25">
      <c r="A430">
        <v>1429</v>
      </c>
      <c r="B430" t="s">
        <v>197</v>
      </c>
      <c r="C430" t="s">
        <v>36</v>
      </c>
      <c r="D430" t="s">
        <v>13</v>
      </c>
      <c r="E430" t="s">
        <v>14</v>
      </c>
      <c r="F430" t="s">
        <v>15</v>
      </c>
      <c r="G430">
        <v>4</v>
      </c>
      <c r="H430">
        <v>1500</v>
      </c>
      <c r="I430">
        <v>15</v>
      </c>
      <c r="J430">
        <v>5100</v>
      </c>
      <c r="K430">
        <v>523.34</v>
      </c>
    </row>
    <row r="431" spans="1:11" x14ac:dyDescent="0.25">
      <c r="A431">
        <v>1430</v>
      </c>
      <c r="B431" t="s">
        <v>105</v>
      </c>
      <c r="C431" t="s">
        <v>21</v>
      </c>
      <c r="D431" t="s">
        <v>27</v>
      </c>
      <c r="E431" t="s">
        <v>18</v>
      </c>
      <c r="F431" t="s">
        <v>19</v>
      </c>
      <c r="G431">
        <v>3</v>
      </c>
      <c r="H431">
        <v>7000</v>
      </c>
      <c r="I431">
        <v>10</v>
      </c>
      <c r="J431">
        <v>18900</v>
      </c>
      <c r="K431">
        <v>2718.18</v>
      </c>
    </row>
    <row r="432" spans="1:11" x14ac:dyDescent="0.25">
      <c r="A432">
        <v>1431</v>
      </c>
      <c r="B432" t="s">
        <v>215</v>
      </c>
      <c r="C432" t="s">
        <v>26</v>
      </c>
      <c r="D432" t="s">
        <v>27</v>
      </c>
      <c r="E432" t="s">
        <v>43</v>
      </c>
      <c r="F432" t="s">
        <v>24</v>
      </c>
      <c r="G432">
        <v>8</v>
      </c>
      <c r="H432">
        <v>9000</v>
      </c>
      <c r="I432">
        <v>15</v>
      </c>
      <c r="J432">
        <v>61200</v>
      </c>
      <c r="K432">
        <v>15089.71</v>
      </c>
    </row>
    <row r="433" spans="1:11" x14ac:dyDescent="0.25">
      <c r="A433">
        <v>1432</v>
      </c>
      <c r="B433" t="s">
        <v>322</v>
      </c>
      <c r="C433" t="s">
        <v>21</v>
      </c>
      <c r="D433" t="s">
        <v>27</v>
      </c>
      <c r="E433" t="s">
        <v>28</v>
      </c>
      <c r="F433" t="s">
        <v>15</v>
      </c>
      <c r="G433">
        <v>10</v>
      </c>
      <c r="H433">
        <v>800</v>
      </c>
      <c r="I433">
        <v>0</v>
      </c>
      <c r="J433">
        <v>8000</v>
      </c>
      <c r="K433">
        <v>1044.05</v>
      </c>
    </row>
    <row r="434" spans="1:11" x14ac:dyDescent="0.25">
      <c r="A434">
        <v>1433</v>
      </c>
      <c r="B434" t="s">
        <v>125</v>
      </c>
      <c r="C434" t="s">
        <v>26</v>
      </c>
      <c r="D434" t="s">
        <v>22</v>
      </c>
      <c r="E434" t="s">
        <v>14</v>
      </c>
      <c r="F434" t="s">
        <v>15</v>
      </c>
      <c r="G434">
        <v>7</v>
      </c>
      <c r="H434">
        <v>1500</v>
      </c>
      <c r="I434">
        <v>15</v>
      </c>
      <c r="J434">
        <v>8925</v>
      </c>
      <c r="K434">
        <v>1646.54</v>
      </c>
    </row>
    <row r="435" spans="1:11" x14ac:dyDescent="0.25">
      <c r="A435">
        <v>1434</v>
      </c>
      <c r="B435" t="s">
        <v>323</v>
      </c>
      <c r="C435" t="s">
        <v>41</v>
      </c>
      <c r="D435" t="s">
        <v>27</v>
      </c>
      <c r="E435" t="s">
        <v>34</v>
      </c>
      <c r="F435" t="s">
        <v>24</v>
      </c>
      <c r="G435">
        <v>8</v>
      </c>
      <c r="H435">
        <v>55000</v>
      </c>
      <c r="I435">
        <v>5</v>
      </c>
      <c r="J435">
        <v>418000</v>
      </c>
      <c r="K435">
        <v>103024.78</v>
      </c>
    </row>
    <row r="436" spans="1:11" x14ac:dyDescent="0.25">
      <c r="A436">
        <v>1435</v>
      </c>
      <c r="B436" t="s">
        <v>91</v>
      </c>
      <c r="C436" t="s">
        <v>41</v>
      </c>
      <c r="D436" t="s">
        <v>22</v>
      </c>
      <c r="E436" t="s">
        <v>14</v>
      </c>
      <c r="F436" t="s">
        <v>15</v>
      </c>
      <c r="G436">
        <v>2</v>
      </c>
      <c r="H436">
        <v>1500</v>
      </c>
      <c r="I436">
        <v>0</v>
      </c>
      <c r="J436">
        <v>3000</v>
      </c>
      <c r="K436">
        <v>608.44000000000005</v>
      </c>
    </row>
    <row r="437" spans="1:11" x14ac:dyDescent="0.25">
      <c r="A437">
        <v>1436</v>
      </c>
      <c r="B437" t="s">
        <v>51</v>
      </c>
      <c r="C437" t="s">
        <v>45</v>
      </c>
      <c r="D437" t="s">
        <v>17</v>
      </c>
      <c r="E437" t="s">
        <v>23</v>
      </c>
      <c r="F437" t="s">
        <v>24</v>
      </c>
      <c r="G437">
        <v>2</v>
      </c>
      <c r="H437">
        <v>12000</v>
      </c>
      <c r="I437">
        <v>15</v>
      </c>
      <c r="J437">
        <v>20400</v>
      </c>
      <c r="K437">
        <v>2461.35</v>
      </c>
    </row>
    <row r="438" spans="1:11" x14ac:dyDescent="0.25">
      <c r="A438">
        <v>1437</v>
      </c>
      <c r="B438" t="s">
        <v>324</v>
      </c>
      <c r="C438" t="s">
        <v>39</v>
      </c>
      <c r="D438" t="s">
        <v>22</v>
      </c>
      <c r="E438" t="s">
        <v>18</v>
      </c>
      <c r="F438" t="s">
        <v>19</v>
      </c>
      <c r="G438">
        <v>10</v>
      </c>
      <c r="H438">
        <v>7000</v>
      </c>
      <c r="I438">
        <v>10</v>
      </c>
      <c r="J438">
        <v>63000</v>
      </c>
      <c r="K438">
        <v>6582.12</v>
      </c>
    </row>
    <row r="439" spans="1:11" x14ac:dyDescent="0.25">
      <c r="A439">
        <v>1438</v>
      </c>
      <c r="B439" t="s">
        <v>272</v>
      </c>
      <c r="C439" t="s">
        <v>41</v>
      </c>
      <c r="D439" t="s">
        <v>27</v>
      </c>
      <c r="E439" t="s">
        <v>23</v>
      </c>
      <c r="F439" t="s">
        <v>24</v>
      </c>
      <c r="G439">
        <v>7</v>
      </c>
      <c r="H439">
        <v>12000</v>
      </c>
      <c r="I439">
        <v>0</v>
      </c>
      <c r="J439">
        <v>84000</v>
      </c>
      <c r="K439">
        <v>7932.61</v>
      </c>
    </row>
    <row r="440" spans="1:11" x14ac:dyDescent="0.25">
      <c r="A440">
        <v>1439</v>
      </c>
      <c r="B440" t="s">
        <v>235</v>
      </c>
      <c r="C440" t="s">
        <v>36</v>
      </c>
      <c r="D440" t="s">
        <v>27</v>
      </c>
      <c r="E440" t="s">
        <v>14</v>
      </c>
      <c r="F440" t="s">
        <v>15</v>
      </c>
      <c r="G440">
        <v>10</v>
      </c>
      <c r="H440">
        <v>1500</v>
      </c>
      <c r="I440">
        <v>5</v>
      </c>
      <c r="J440">
        <v>14250</v>
      </c>
      <c r="K440">
        <v>3069.37</v>
      </c>
    </row>
    <row r="441" spans="1:11" x14ac:dyDescent="0.25">
      <c r="A441">
        <v>1440</v>
      </c>
      <c r="B441" t="s">
        <v>83</v>
      </c>
      <c r="C441" t="s">
        <v>47</v>
      </c>
      <c r="D441" t="s">
        <v>13</v>
      </c>
      <c r="E441" t="s">
        <v>23</v>
      </c>
      <c r="F441" t="s">
        <v>24</v>
      </c>
      <c r="G441">
        <v>1</v>
      </c>
      <c r="H441">
        <v>12000</v>
      </c>
      <c r="I441">
        <v>15</v>
      </c>
      <c r="J441">
        <v>10200</v>
      </c>
      <c r="K441">
        <v>1076.8699999999999</v>
      </c>
    </row>
    <row r="442" spans="1:11" x14ac:dyDescent="0.25">
      <c r="A442">
        <v>1441</v>
      </c>
      <c r="B442" t="s">
        <v>325</v>
      </c>
      <c r="C442" t="s">
        <v>45</v>
      </c>
      <c r="D442" t="s">
        <v>13</v>
      </c>
      <c r="E442" t="s">
        <v>28</v>
      </c>
      <c r="F442" t="s">
        <v>15</v>
      </c>
      <c r="G442">
        <v>3</v>
      </c>
      <c r="H442">
        <v>800</v>
      </c>
      <c r="I442">
        <v>20</v>
      </c>
      <c r="J442">
        <v>1920</v>
      </c>
      <c r="K442">
        <v>279.3</v>
      </c>
    </row>
    <row r="443" spans="1:11" x14ac:dyDescent="0.25">
      <c r="A443">
        <v>1442</v>
      </c>
      <c r="B443" t="s">
        <v>309</v>
      </c>
      <c r="C443" t="s">
        <v>39</v>
      </c>
      <c r="D443" t="s">
        <v>13</v>
      </c>
      <c r="E443" t="s">
        <v>43</v>
      </c>
      <c r="F443" t="s">
        <v>24</v>
      </c>
      <c r="G443">
        <v>4</v>
      </c>
      <c r="H443">
        <v>9000</v>
      </c>
      <c r="I443">
        <v>10</v>
      </c>
      <c r="J443">
        <v>32400</v>
      </c>
      <c r="K443">
        <v>3712.41</v>
      </c>
    </row>
    <row r="444" spans="1:11" x14ac:dyDescent="0.25">
      <c r="A444">
        <v>1443</v>
      </c>
      <c r="B444" t="s">
        <v>326</v>
      </c>
      <c r="C444" t="s">
        <v>47</v>
      </c>
      <c r="D444" t="s">
        <v>17</v>
      </c>
      <c r="E444" t="s">
        <v>28</v>
      </c>
      <c r="F444" t="s">
        <v>15</v>
      </c>
      <c r="G444">
        <v>2</v>
      </c>
      <c r="H444">
        <v>800</v>
      </c>
      <c r="I444">
        <v>20</v>
      </c>
      <c r="J444">
        <v>1280</v>
      </c>
      <c r="K444">
        <v>309.75</v>
      </c>
    </row>
    <row r="445" spans="1:11" x14ac:dyDescent="0.25">
      <c r="A445">
        <v>1444</v>
      </c>
      <c r="B445" t="s">
        <v>246</v>
      </c>
      <c r="C445" t="s">
        <v>21</v>
      </c>
      <c r="D445" t="s">
        <v>13</v>
      </c>
      <c r="E445" t="s">
        <v>14</v>
      </c>
      <c r="F445" t="s">
        <v>15</v>
      </c>
      <c r="G445">
        <v>2</v>
      </c>
      <c r="H445">
        <v>1500</v>
      </c>
      <c r="I445">
        <v>0</v>
      </c>
      <c r="J445">
        <v>3000</v>
      </c>
      <c r="K445">
        <v>548.48</v>
      </c>
    </row>
    <row r="446" spans="1:11" x14ac:dyDescent="0.25">
      <c r="A446">
        <v>1445</v>
      </c>
      <c r="B446" t="s">
        <v>42</v>
      </c>
      <c r="C446" t="s">
        <v>26</v>
      </c>
      <c r="D446" t="s">
        <v>17</v>
      </c>
      <c r="E446" t="s">
        <v>34</v>
      </c>
      <c r="F446" t="s">
        <v>24</v>
      </c>
      <c r="G446">
        <v>5</v>
      </c>
      <c r="H446">
        <v>55000</v>
      </c>
      <c r="I446">
        <v>10</v>
      </c>
      <c r="J446">
        <v>247500</v>
      </c>
      <c r="K446">
        <v>33319.07</v>
      </c>
    </row>
    <row r="447" spans="1:11" x14ac:dyDescent="0.25">
      <c r="A447">
        <v>1446</v>
      </c>
      <c r="B447" t="s">
        <v>327</v>
      </c>
      <c r="C447" t="s">
        <v>21</v>
      </c>
      <c r="D447" t="s">
        <v>27</v>
      </c>
      <c r="E447" t="s">
        <v>23</v>
      </c>
      <c r="F447" t="s">
        <v>24</v>
      </c>
      <c r="G447">
        <v>10</v>
      </c>
      <c r="H447">
        <v>12000</v>
      </c>
      <c r="I447">
        <v>5</v>
      </c>
      <c r="J447">
        <v>114000</v>
      </c>
      <c r="K447">
        <v>23480.7</v>
      </c>
    </row>
    <row r="448" spans="1:11" x14ac:dyDescent="0.25">
      <c r="A448">
        <v>1447</v>
      </c>
      <c r="B448" t="s">
        <v>328</v>
      </c>
      <c r="C448" t="s">
        <v>30</v>
      </c>
      <c r="D448" t="s">
        <v>13</v>
      </c>
      <c r="E448" t="s">
        <v>23</v>
      </c>
      <c r="F448" t="s">
        <v>24</v>
      </c>
      <c r="G448">
        <v>7</v>
      </c>
      <c r="H448">
        <v>12000</v>
      </c>
      <c r="I448">
        <v>20</v>
      </c>
      <c r="J448">
        <v>67200</v>
      </c>
      <c r="K448">
        <v>16671.66</v>
      </c>
    </row>
    <row r="449" spans="1:11" x14ac:dyDescent="0.25">
      <c r="A449">
        <v>1448</v>
      </c>
      <c r="B449" t="s">
        <v>146</v>
      </c>
      <c r="C449" t="s">
        <v>32</v>
      </c>
      <c r="D449" t="s">
        <v>13</v>
      </c>
      <c r="E449" t="s">
        <v>14</v>
      </c>
      <c r="F449" t="s">
        <v>15</v>
      </c>
      <c r="G449">
        <v>5</v>
      </c>
      <c r="H449">
        <v>1500</v>
      </c>
      <c r="I449">
        <v>5</v>
      </c>
      <c r="J449">
        <v>7125</v>
      </c>
      <c r="K449">
        <v>607.32000000000005</v>
      </c>
    </row>
    <row r="450" spans="1:11" x14ac:dyDescent="0.25">
      <c r="A450">
        <v>1449</v>
      </c>
      <c r="B450" t="s">
        <v>229</v>
      </c>
      <c r="C450" t="s">
        <v>36</v>
      </c>
      <c r="D450" t="s">
        <v>27</v>
      </c>
      <c r="E450" t="s">
        <v>23</v>
      </c>
      <c r="F450" t="s">
        <v>24</v>
      </c>
      <c r="G450">
        <v>5</v>
      </c>
      <c r="H450">
        <v>12000</v>
      </c>
      <c r="I450">
        <v>0</v>
      </c>
      <c r="J450">
        <v>60000</v>
      </c>
      <c r="K450">
        <v>12188.74</v>
      </c>
    </row>
    <row r="451" spans="1:11" x14ac:dyDescent="0.25">
      <c r="A451">
        <v>1450</v>
      </c>
      <c r="B451" t="s">
        <v>120</v>
      </c>
      <c r="C451" t="s">
        <v>30</v>
      </c>
      <c r="D451" t="s">
        <v>22</v>
      </c>
      <c r="E451" t="s">
        <v>34</v>
      </c>
      <c r="F451" t="s">
        <v>24</v>
      </c>
      <c r="G451">
        <v>1</v>
      </c>
      <c r="H451">
        <v>55000</v>
      </c>
      <c r="I451">
        <v>0</v>
      </c>
      <c r="J451">
        <v>55000</v>
      </c>
      <c r="K451">
        <v>12138.82</v>
      </c>
    </row>
    <row r="452" spans="1:11" x14ac:dyDescent="0.25">
      <c r="A452">
        <v>1451</v>
      </c>
      <c r="B452" t="s">
        <v>191</v>
      </c>
      <c r="C452" t="s">
        <v>41</v>
      </c>
      <c r="D452" t="s">
        <v>13</v>
      </c>
      <c r="E452" t="s">
        <v>18</v>
      </c>
      <c r="F452" t="s">
        <v>19</v>
      </c>
      <c r="G452">
        <v>10</v>
      </c>
      <c r="H452">
        <v>7000</v>
      </c>
      <c r="I452">
        <v>5</v>
      </c>
      <c r="J452">
        <v>66500</v>
      </c>
      <c r="K452">
        <v>6554.05</v>
      </c>
    </row>
    <row r="453" spans="1:11" x14ac:dyDescent="0.25">
      <c r="A453">
        <v>1452</v>
      </c>
      <c r="B453" t="s">
        <v>329</v>
      </c>
      <c r="C453" t="s">
        <v>45</v>
      </c>
      <c r="D453" t="s">
        <v>13</v>
      </c>
      <c r="E453" t="s">
        <v>18</v>
      </c>
      <c r="F453" t="s">
        <v>19</v>
      </c>
      <c r="G453">
        <v>3</v>
      </c>
      <c r="H453">
        <v>7000</v>
      </c>
      <c r="I453">
        <v>5</v>
      </c>
      <c r="J453">
        <v>19950</v>
      </c>
      <c r="K453">
        <v>4585.6400000000003</v>
      </c>
    </row>
    <row r="454" spans="1:11" x14ac:dyDescent="0.25">
      <c r="A454">
        <v>1453</v>
      </c>
      <c r="B454" t="s">
        <v>97</v>
      </c>
      <c r="C454" t="s">
        <v>21</v>
      </c>
      <c r="D454" t="s">
        <v>22</v>
      </c>
      <c r="E454" t="s">
        <v>28</v>
      </c>
      <c r="F454" t="s">
        <v>15</v>
      </c>
      <c r="G454">
        <v>7</v>
      </c>
      <c r="H454">
        <v>800</v>
      </c>
      <c r="I454">
        <v>15</v>
      </c>
      <c r="J454">
        <v>4760</v>
      </c>
      <c r="K454">
        <v>1090.5</v>
      </c>
    </row>
    <row r="455" spans="1:11" x14ac:dyDescent="0.25">
      <c r="A455">
        <v>1454</v>
      </c>
      <c r="B455" t="s">
        <v>330</v>
      </c>
      <c r="C455" t="s">
        <v>36</v>
      </c>
      <c r="D455" t="s">
        <v>13</v>
      </c>
      <c r="E455" t="s">
        <v>18</v>
      </c>
      <c r="F455" t="s">
        <v>19</v>
      </c>
      <c r="G455">
        <v>8</v>
      </c>
      <c r="H455">
        <v>7000</v>
      </c>
      <c r="I455">
        <v>20</v>
      </c>
      <c r="J455">
        <v>44800</v>
      </c>
      <c r="K455">
        <v>3900.05</v>
      </c>
    </row>
    <row r="456" spans="1:11" x14ac:dyDescent="0.25">
      <c r="A456">
        <v>1455</v>
      </c>
      <c r="B456" t="s">
        <v>188</v>
      </c>
      <c r="C456" t="s">
        <v>47</v>
      </c>
      <c r="D456" t="s">
        <v>22</v>
      </c>
      <c r="E456" t="s">
        <v>28</v>
      </c>
      <c r="F456" t="s">
        <v>15</v>
      </c>
      <c r="G456">
        <v>5</v>
      </c>
      <c r="H456">
        <v>800</v>
      </c>
      <c r="I456">
        <v>20</v>
      </c>
      <c r="J456">
        <v>3200</v>
      </c>
      <c r="K456">
        <v>690.89</v>
      </c>
    </row>
    <row r="457" spans="1:11" x14ac:dyDescent="0.25">
      <c r="A457">
        <v>1456</v>
      </c>
      <c r="B457" t="s">
        <v>331</v>
      </c>
      <c r="C457" t="s">
        <v>21</v>
      </c>
      <c r="D457" t="s">
        <v>13</v>
      </c>
      <c r="E457" t="s">
        <v>18</v>
      </c>
      <c r="F457" t="s">
        <v>19</v>
      </c>
      <c r="G457">
        <v>5</v>
      </c>
      <c r="H457">
        <v>7000</v>
      </c>
      <c r="I457">
        <v>10</v>
      </c>
      <c r="J457">
        <v>31500</v>
      </c>
      <c r="K457">
        <v>4481.22</v>
      </c>
    </row>
    <row r="458" spans="1:11" x14ac:dyDescent="0.25">
      <c r="A458">
        <v>1457</v>
      </c>
      <c r="B458" t="s">
        <v>332</v>
      </c>
      <c r="C458" t="s">
        <v>36</v>
      </c>
      <c r="D458" t="s">
        <v>17</v>
      </c>
      <c r="E458" t="s">
        <v>28</v>
      </c>
      <c r="F458" t="s">
        <v>15</v>
      </c>
      <c r="G458">
        <v>1</v>
      </c>
      <c r="H458">
        <v>800</v>
      </c>
      <c r="I458">
        <v>15</v>
      </c>
      <c r="J458">
        <v>680</v>
      </c>
      <c r="K458">
        <v>105.61</v>
      </c>
    </row>
    <row r="459" spans="1:11" x14ac:dyDescent="0.25">
      <c r="A459">
        <v>1458</v>
      </c>
      <c r="B459" t="s">
        <v>235</v>
      </c>
      <c r="C459" t="s">
        <v>26</v>
      </c>
      <c r="D459" t="s">
        <v>17</v>
      </c>
      <c r="E459" t="s">
        <v>43</v>
      </c>
      <c r="F459" t="s">
        <v>24</v>
      </c>
      <c r="G459">
        <v>9</v>
      </c>
      <c r="H459">
        <v>9000</v>
      </c>
      <c r="I459">
        <v>0</v>
      </c>
      <c r="J459">
        <v>81000</v>
      </c>
      <c r="K459">
        <v>9645.02</v>
      </c>
    </row>
    <row r="460" spans="1:11" x14ac:dyDescent="0.25">
      <c r="A460">
        <v>1459</v>
      </c>
      <c r="B460" t="s">
        <v>333</v>
      </c>
      <c r="C460" t="s">
        <v>12</v>
      </c>
      <c r="D460" t="s">
        <v>17</v>
      </c>
      <c r="E460" t="s">
        <v>43</v>
      </c>
      <c r="F460" t="s">
        <v>24</v>
      </c>
      <c r="G460">
        <v>7</v>
      </c>
      <c r="H460">
        <v>9000</v>
      </c>
      <c r="I460">
        <v>0</v>
      </c>
      <c r="J460">
        <v>63000</v>
      </c>
      <c r="K460">
        <v>10564.85</v>
      </c>
    </row>
    <row r="461" spans="1:11" x14ac:dyDescent="0.25">
      <c r="A461">
        <v>1460</v>
      </c>
      <c r="B461" t="s">
        <v>281</v>
      </c>
      <c r="C461" t="s">
        <v>41</v>
      </c>
      <c r="D461" t="s">
        <v>22</v>
      </c>
      <c r="E461" t="s">
        <v>23</v>
      </c>
      <c r="F461" t="s">
        <v>24</v>
      </c>
      <c r="G461">
        <v>2</v>
      </c>
      <c r="H461">
        <v>12000</v>
      </c>
      <c r="I461">
        <v>5</v>
      </c>
      <c r="J461">
        <v>22800</v>
      </c>
      <c r="K461">
        <v>4390.26</v>
      </c>
    </row>
    <row r="462" spans="1:11" x14ac:dyDescent="0.25">
      <c r="A462">
        <v>1461</v>
      </c>
      <c r="B462" t="s">
        <v>334</v>
      </c>
      <c r="C462" t="s">
        <v>45</v>
      </c>
      <c r="D462" t="s">
        <v>13</v>
      </c>
      <c r="E462" t="s">
        <v>14</v>
      </c>
      <c r="F462" t="s">
        <v>15</v>
      </c>
      <c r="G462">
        <v>5</v>
      </c>
      <c r="H462">
        <v>1500</v>
      </c>
      <c r="I462">
        <v>5</v>
      </c>
      <c r="J462">
        <v>7125</v>
      </c>
      <c r="K462">
        <v>963.22</v>
      </c>
    </row>
    <row r="463" spans="1:11" x14ac:dyDescent="0.25">
      <c r="A463">
        <v>1462</v>
      </c>
      <c r="B463" t="s">
        <v>126</v>
      </c>
      <c r="C463" t="s">
        <v>21</v>
      </c>
      <c r="D463" t="s">
        <v>17</v>
      </c>
      <c r="E463" t="s">
        <v>14</v>
      </c>
      <c r="F463" t="s">
        <v>15</v>
      </c>
      <c r="G463">
        <v>2</v>
      </c>
      <c r="H463">
        <v>1500</v>
      </c>
      <c r="I463">
        <v>5</v>
      </c>
      <c r="J463">
        <v>2850</v>
      </c>
      <c r="K463">
        <v>332.81</v>
      </c>
    </row>
    <row r="464" spans="1:11" x14ac:dyDescent="0.25">
      <c r="A464">
        <v>1463</v>
      </c>
      <c r="B464" t="s">
        <v>297</v>
      </c>
      <c r="C464" t="s">
        <v>45</v>
      </c>
      <c r="D464" t="s">
        <v>13</v>
      </c>
      <c r="E464" t="s">
        <v>18</v>
      </c>
      <c r="F464" t="s">
        <v>19</v>
      </c>
      <c r="G464">
        <v>3</v>
      </c>
      <c r="H464">
        <v>7000</v>
      </c>
      <c r="I464">
        <v>10</v>
      </c>
      <c r="J464">
        <v>18900</v>
      </c>
      <c r="K464">
        <v>2247.9499999999998</v>
      </c>
    </row>
    <row r="465" spans="1:11" x14ac:dyDescent="0.25">
      <c r="A465">
        <v>1464</v>
      </c>
      <c r="B465" t="s">
        <v>76</v>
      </c>
      <c r="C465" t="s">
        <v>26</v>
      </c>
      <c r="D465" t="s">
        <v>13</v>
      </c>
      <c r="E465" t="s">
        <v>23</v>
      </c>
      <c r="F465" t="s">
        <v>24</v>
      </c>
      <c r="G465">
        <v>4</v>
      </c>
      <c r="H465">
        <v>12000</v>
      </c>
      <c r="I465">
        <v>0</v>
      </c>
      <c r="J465">
        <v>48000</v>
      </c>
      <c r="K465">
        <v>9263.51</v>
      </c>
    </row>
    <row r="466" spans="1:11" x14ac:dyDescent="0.25">
      <c r="A466">
        <v>1465</v>
      </c>
      <c r="B466" t="s">
        <v>293</v>
      </c>
      <c r="C466" t="s">
        <v>32</v>
      </c>
      <c r="D466" t="s">
        <v>17</v>
      </c>
      <c r="E466" t="s">
        <v>34</v>
      </c>
      <c r="F466" t="s">
        <v>24</v>
      </c>
      <c r="G466">
        <v>2</v>
      </c>
      <c r="H466">
        <v>55000</v>
      </c>
      <c r="I466">
        <v>5</v>
      </c>
      <c r="J466">
        <v>104500</v>
      </c>
      <c r="K466">
        <v>12971.82</v>
      </c>
    </row>
    <row r="467" spans="1:11" x14ac:dyDescent="0.25">
      <c r="A467">
        <v>1466</v>
      </c>
      <c r="B467" t="s">
        <v>264</v>
      </c>
      <c r="C467" t="s">
        <v>47</v>
      </c>
      <c r="D467" t="s">
        <v>13</v>
      </c>
      <c r="E467" t="s">
        <v>34</v>
      </c>
      <c r="F467" t="s">
        <v>24</v>
      </c>
      <c r="G467">
        <v>6</v>
      </c>
      <c r="H467">
        <v>55000</v>
      </c>
      <c r="I467">
        <v>20</v>
      </c>
      <c r="J467">
        <v>264000</v>
      </c>
      <c r="K467">
        <v>43383.11</v>
      </c>
    </row>
    <row r="468" spans="1:11" x14ac:dyDescent="0.25">
      <c r="A468">
        <v>1467</v>
      </c>
      <c r="B468" t="s">
        <v>278</v>
      </c>
      <c r="C468" t="s">
        <v>21</v>
      </c>
      <c r="D468" t="s">
        <v>22</v>
      </c>
      <c r="E468" t="s">
        <v>43</v>
      </c>
      <c r="F468" t="s">
        <v>24</v>
      </c>
      <c r="G468">
        <v>8</v>
      </c>
      <c r="H468">
        <v>9000</v>
      </c>
      <c r="I468">
        <v>15</v>
      </c>
      <c r="J468">
        <v>61200</v>
      </c>
      <c r="K468">
        <v>7281.58</v>
      </c>
    </row>
    <row r="469" spans="1:11" x14ac:dyDescent="0.25">
      <c r="A469">
        <v>1468</v>
      </c>
      <c r="B469" t="s">
        <v>335</v>
      </c>
      <c r="C469" t="s">
        <v>26</v>
      </c>
      <c r="D469" t="s">
        <v>17</v>
      </c>
      <c r="E469" t="s">
        <v>14</v>
      </c>
      <c r="F469" t="s">
        <v>15</v>
      </c>
      <c r="G469">
        <v>2</v>
      </c>
      <c r="H469">
        <v>1500</v>
      </c>
      <c r="I469">
        <v>15</v>
      </c>
      <c r="J469">
        <v>2550</v>
      </c>
      <c r="K469">
        <v>270.81</v>
      </c>
    </row>
    <row r="470" spans="1:11" x14ac:dyDescent="0.25">
      <c r="A470">
        <v>1469</v>
      </c>
      <c r="B470" t="s">
        <v>297</v>
      </c>
      <c r="C470" t="s">
        <v>36</v>
      </c>
      <c r="D470" t="s">
        <v>13</v>
      </c>
      <c r="E470" t="s">
        <v>34</v>
      </c>
      <c r="F470" t="s">
        <v>24</v>
      </c>
      <c r="G470">
        <v>6</v>
      </c>
      <c r="H470">
        <v>55000</v>
      </c>
      <c r="I470">
        <v>15</v>
      </c>
      <c r="J470">
        <v>280500</v>
      </c>
      <c r="K470">
        <v>59933.59</v>
      </c>
    </row>
    <row r="471" spans="1:11" x14ac:dyDescent="0.25">
      <c r="A471">
        <v>1470</v>
      </c>
      <c r="B471" t="s">
        <v>105</v>
      </c>
      <c r="C471" t="s">
        <v>39</v>
      </c>
      <c r="D471" t="s">
        <v>17</v>
      </c>
      <c r="E471" t="s">
        <v>43</v>
      </c>
      <c r="F471" t="s">
        <v>24</v>
      </c>
      <c r="G471">
        <v>3</v>
      </c>
      <c r="H471">
        <v>9000</v>
      </c>
      <c r="I471">
        <v>20</v>
      </c>
      <c r="J471">
        <v>21600</v>
      </c>
      <c r="K471">
        <v>4061</v>
      </c>
    </row>
    <row r="472" spans="1:11" x14ac:dyDescent="0.25">
      <c r="A472">
        <v>1471</v>
      </c>
      <c r="B472" t="s">
        <v>336</v>
      </c>
      <c r="C472" t="s">
        <v>26</v>
      </c>
      <c r="D472" t="s">
        <v>13</v>
      </c>
      <c r="E472" t="s">
        <v>43</v>
      </c>
      <c r="F472" t="s">
        <v>24</v>
      </c>
      <c r="G472">
        <v>3</v>
      </c>
      <c r="H472">
        <v>9000</v>
      </c>
      <c r="I472">
        <v>5</v>
      </c>
      <c r="J472">
        <v>25650</v>
      </c>
      <c r="K472">
        <v>5033.4799999999996</v>
      </c>
    </row>
    <row r="473" spans="1:11" x14ac:dyDescent="0.25">
      <c r="A473">
        <v>1472</v>
      </c>
      <c r="B473" t="s">
        <v>337</v>
      </c>
      <c r="C473" t="s">
        <v>12</v>
      </c>
      <c r="D473" t="s">
        <v>22</v>
      </c>
      <c r="E473" t="s">
        <v>43</v>
      </c>
      <c r="F473" t="s">
        <v>24</v>
      </c>
      <c r="G473">
        <v>6</v>
      </c>
      <c r="H473">
        <v>9000</v>
      </c>
      <c r="I473">
        <v>0</v>
      </c>
      <c r="J473">
        <v>54000</v>
      </c>
      <c r="K473">
        <v>9303.6</v>
      </c>
    </row>
    <row r="474" spans="1:11" x14ac:dyDescent="0.25">
      <c r="A474">
        <v>1473</v>
      </c>
      <c r="B474" t="s">
        <v>304</v>
      </c>
      <c r="C474" t="s">
        <v>41</v>
      </c>
      <c r="D474" t="s">
        <v>22</v>
      </c>
      <c r="E474" t="s">
        <v>23</v>
      </c>
      <c r="F474" t="s">
        <v>24</v>
      </c>
      <c r="G474">
        <v>7</v>
      </c>
      <c r="H474">
        <v>12000</v>
      </c>
      <c r="I474">
        <v>15</v>
      </c>
      <c r="J474">
        <v>71400</v>
      </c>
      <c r="K474">
        <v>7425.96</v>
      </c>
    </row>
    <row r="475" spans="1:11" x14ac:dyDescent="0.25">
      <c r="A475">
        <v>1474</v>
      </c>
      <c r="B475" t="s">
        <v>145</v>
      </c>
      <c r="C475" t="s">
        <v>26</v>
      </c>
      <c r="D475" t="s">
        <v>17</v>
      </c>
      <c r="E475" t="s">
        <v>18</v>
      </c>
      <c r="F475" t="s">
        <v>19</v>
      </c>
      <c r="G475">
        <v>9</v>
      </c>
      <c r="H475">
        <v>7000</v>
      </c>
      <c r="I475">
        <v>5</v>
      </c>
      <c r="J475">
        <v>59850</v>
      </c>
      <c r="K475">
        <v>14922.82</v>
      </c>
    </row>
    <row r="476" spans="1:11" x14ac:dyDescent="0.25">
      <c r="A476">
        <v>1475</v>
      </c>
      <c r="B476" t="s">
        <v>266</v>
      </c>
      <c r="C476" t="s">
        <v>32</v>
      </c>
      <c r="D476" t="s">
        <v>22</v>
      </c>
      <c r="E476" t="s">
        <v>14</v>
      </c>
      <c r="F476" t="s">
        <v>15</v>
      </c>
      <c r="G476">
        <v>10</v>
      </c>
      <c r="H476">
        <v>1500</v>
      </c>
      <c r="I476">
        <v>15</v>
      </c>
      <c r="J476">
        <v>12750</v>
      </c>
      <c r="K476">
        <v>1733.64</v>
      </c>
    </row>
    <row r="477" spans="1:11" x14ac:dyDescent="0.25">
      <c r="A477">
        <v>1476</v>
      </c>
      <c r="B477" t="s">
        <v>337</v>
      </c>
      <c r="C477" t="s">
        <v>47</v>
      </c>
      <c r="D477" t="s">
        <v>13</v>
      </c>
      <c r="E477" t="s">
        <v>23</v>
      </c>
      <c r="F477" t="s">
        <v>24</v>
      </c>
      <c r="G477">
        <v>1</v>
      </c>
      <c r="H477">
        <v>12000</v>
      </c>
      <c r="I477">
        <v>5</v>
      </c>
      <c r="J477">
        <v>11400</v>
      </c>
      <c r="K477">
        <v>1771.29</v>
      </c>
    </row>
    <row r="478" spans="1:11" x14ac:dyDescent="0.25">
      <c r="A478">
        <v>1477</v>
      </c>
      <c r="B478" t="s">
        <v>318</v>
      </c>
      <c r="C478" t="s">
        <v>45</v>
      </c>
      <c r="D478" t="s">
        <v>13</v>
      </c>
      <c r="E478" t="s">
        <v>18</v>
      </c>
      <c r="F478" t="s">
        <v>19</v>
      </c>
      <c r="G478">
        <v>3</v>
      </c>
      <c r="H478">
        <v>7000</v>
      </c>
      <c r="I478">
        <v>15</v>
      </c>
      <c r="J478">
        <v>17850</v>
      </c>
      <c r="K478">
        <v>2686.95</v>
      </c>
    </row>
    <row r="479" spans="1:11" x14ac:dyDescent="0.25">
      <c r="A479">
        <v>1478</v>
      </c>
      <c r="B479" t="s">
        <v>104</v>
      </c>
      <c r="C479" t="s">
        <v>21</v>
      </c>
      <c r="D479" t="s">
        <v>27</v>
      </c>
      <c r="E479" t="s">
        <v>23</v>
      </c>
      <c r="F479" t="s">
        <v>24</v>
      </c>
      <c r="G479">
        <v>4</v>
      </c>
      <c r="H479">
        <v>12000</v>
      </c>
      <c r="I479">
        <v>20</v>
      </c>
      <c r="J479">
        <v>38400</v>
      </c>
      <c r="K479">
        <v>3114.82</v>
      </c>
    </row>
    <row r="480" spans="1:11" x14ac:dyDescent="0.25">
      <c r="A480">
        <v>1479</v>
      </c>
      <c r="B480" t="s">
        <v>338</v>
      </c>
      <c r="C480" t="s">
        <v>32</v>
      </c>
      <c r="D480" t="s">
        <v>22</v>
      </c>
      <c r="E480" t="s">
        <v>23</v>
      </c>
      <c r="F480" t="s">
        <v>24</v>
      </c>
      <c r="G480">
        <v>2</v>
      </c>
      <c r="H480">
        <v>12000</v>
      </c>
      <c r="I480">
        <v>5</v>
      </c>
      <c r="J480">
        <v>22800</v>
      </c>
      <c r="K480">
        <v>5613.69</v>
      </c>
    </row>
    <row r="481" spans="1:11" x14ac:dyDescent="0.25">
      <c r="A481">
        <v>1480</v>
      </c>
      <c r="B481" t="s">
        <v>304</v>
      </c>
      <c r="C481" t="s">
        <v>21</v>
      </c>
      <c r="D481" t="s">
        <v>27</v>
      </c>
      <c r="E481" t="s">
        <v>18</v>
      </c>
      <c r="F481" t="s">
        <v>19</v>
      </c>
      <c r="G481">
        <v>6</v>
      </c>
      <c r="H481">
        <v>7000</v>
      </c>
      <c r="I481">
        <v>0</v>
      </c>
      <c r="J481">
        <v>42000</v>
      </c>
      <c r="K481">
        <v>6938.55</v>
      </c>
    </row>
    <row r="482" spans="1:11" x14ac:dyDescent="0.25">
      <c r="A482">
        <v>1481</v>
      </c>
      <c r="B482" t="s">
        <v>339</v>
      </c>
      <c r="C482" t="s">
        <v>47</v>
      </c>
      <c r="D482" t="s">
        <v>13</v>
      </c>
      <c r="E482" t="s">
        <v>23</v>
      </c>
      <c r="F482" t="s">
        <v>24</v>
      </c>
      <c r="G482">
        <v>3</v>
      </c>
      <c r="H482">
        <v>12000</v>
      </c>
      <c r="I482">
        <v>15</v>
      </c>
      <c r="J482">
        <v>30600</v>
      </c>
      <c r="K482">
        <v>6874.63</v>
      </c>
    </row>
    <row r="483" spans="1:11" x14ac:dyDescent="0.25">
      <c r="A483">
        <v>1482</v>
      </c>
      <c r="B483" t="s">
        <v>340</v>
      </c>
      <c r="C483" t="s">
        <v>32</v>
      </c>
      <c r="D483" t="s">
        <v>27</v>
      </c>
      <c r="E483" t="s">
        <v>14</v>
      </c>
      <c r="F483" t="s">
        <v>15</v>
      </c>
      <c r="G483">
        <v>4</v>
      </c>
      <c r="H483">
        <v>1500</v>
      </c>
      <c r="I483">
        <v>0</v>
      </c>
      <c r="J483">
        <v>6000</v>
      </c>
      <c r="K483">
        <v>1099.3</v>
      </c>
    </row>
    <row r="484" spans="1:11" x14ac:dyDescent="0.25">
      <c r="A484">
        <v>1483</v>
      </c>
      <c r="B484" t="s">
        <v>341</v>
      </c>
      <c r="C484" t="s">
        <v>41</v>
      </c>
      <c r="D484" t="s">
        <v>13</v>
      </c>
      <c r="E484" t="s">
        <v>28</v>
      </c>
      <c r="F484" t="s">
        <v>15</v>
      </c>
      <c r="G484">
        <v>3</v>
      </c>
      <c r="H484">
        <v>800</v>
      </c>
      <c r="I484">
        <v>0</v>
      </c>
      <c r="J484">
        <v>2400</v>
      </c>
      <c r="K484">
        <v>463.18</v>
      </c>
    </row>
    <row r="485" spans="1:11" x14ac:dyDescent="0.25">
      <c r="A485">
        <v>1484</v>
      </c>
      <c r="B485" t="s">
        <v>72</v>
      </c>
      <c r="C485" t="s">
        <v>12</v>
      </c>
      <c r="D485" t="s">
        <v>13</v>
      </c>
      <c r="E485" t="s">
        <v>34</v>
      </c>
      <c r="F485" t="s">
        <v>24</v>
      </c>
      <c r="G485">
        <v>8</v>
      </c>
      <c r="H485">
        <v>55000</v>
      </c>
      <c r="I485">
        <v>0</v>
      </c>
      <c r="J485">
        <v>440000</v>
      </c>
      <c r="K485">
        <v>85978.48</v>
      </c>
    </row>
    <row r="486" spans="1:11" x14ac:dyDescent="0.25">
      <c r="A486">
        <v>1485</v>
      </c>
      <c r="B486" t="s">
        <v>342</v>
      </c>
      <c r="C486" t="s">
        <v>32</v>
      </c>
      <c r="D486" t="s">
        <v>17</v>
      </c>
      <c r="E486" t="s">
        <v>18</v>
      </c>
      <c r="F486" t="s">
        <v>19</v>
      </c>
      <c r="G486">
        <v>8</v>
      </c>
      <c r="H486">
        <v>7000</v>
      </c>
      <c r="I486">
        <v>10</v>
      </c>
      <c r="J486">
        <v>50400</v>
      </c>
      <c r="K486">
        <v>7350.85</v>
      </c>
    </row>
    <row r="487" spans="1:11" x14ac:dyDescent="0.25">
      <c r="A487">
        <v>1486</v>
      </c>
      <c r="B487" t="s">
        <v>131</v>
      </c>
      <c r="C487" t="s">
        <v>32</v>
      </c>
      <c r="D487" t="s">
        <v>27</v>
      </c>
      <c r="E487" t="s">
        <v>14</v>
      </c>
      <c r="F487" t="s">
        <v>15</v>
      </c>
      <c r="G487">
        <v>6</v>
      </c>
      <c r="H487">
        <v>1500</v>
      </c>
      <c r="I487">
        <v>15</v>
      </c>
      <c r="J487">
        <v>7650</v>
      </c>
      <c r="K487">
        <v>900.08</v>
      </c>
    </row>
    <row r="488" spans="1:11" x14ac:dyDescent="0.25">
      <c r="A488">
        <v>1487</v>
      </c>
      <c r="B488" t="s">
        <v>268</v>
      </c>
      <c r="C488" t="s">
        <v>30</v>
      </c>
      <c r="D488" t="s">
        <v>13</v>
      </c>
      <c r="E488" t="s">
        <v>18</v>
      </c>
      <c r="F488" t="s">
        <v>19</v>
      </c>
      <c r="G488">
        <v>5</v>
      </c>
      <c r="H488">
        <v>7000</v>
      </c>
      <c r="I488">
        <v>5</v>
      </c>
      <c r="J488">
        <v>33250</v>
      </c>
      <c r="K488">
        <v>7176.2</v>
      </c>
    </row>
    <row r="489" spans="1:11" x14ac:dyDescent="0.25">
      <c r="A489">
        <v>1488</v>
      </c>
      <c r="B489" t="s">
        <v>343</v>
      </c>
      <c r="C489" t="s">
        <v>41</v>
      </c>
      <c r="D489" t="s">
        <v>17</v>
      </c>
      <c r="E489" t="s">
        <v>14</v>
      </c>
      <c r="F489" t="s">
        <v>15</v>
      </c>
      <c r="G489">
        <v>10</v>
      </c>
      <c r="H489">
        <v>1500</v>
      </c>
      <c r="I489">
        <v>15</v>
      </c>
      <c r="J489">
        <v>12750</v>
      </c>
      <c r="K489">
        <v>2505.62</v>
      </c>
    </row>
    <row r="490" spans="1:11" x14ac:dyDescent="0.25">
      <c r="A490">
        <v>1489</v>
      </c>
      <c r="B490" t="s">
        <v>54</v>
      </c>
      <c r="C490" t="s">
        <v>36</v>
      </c>
      <c r="D490" t="s">
        <v>27</v>
      </c>
      <c r="E490" t="s">
        <v>34</v>
      </c>
      <c r="F490" t="s">
        <v>24</v>
      </c>
      <c r="G490">
        <v>9</v>
      </c>
      <c r="H490">
        <v>55000</v>
      </c>
      <c r="I490">
        <v>20</v>
      </c>
      <c r="J490">
        <v>396000</v>
      </c>
      <c r="K490">
        <v>41551.440000000002</v>
      </c>
    </row>
    <row r="491" spans="1:11" x14ac:dyDescent="0.25">
      <c r="A491">
        <v>1490</v>
      </c>
      <c r="B491" t="s">
        <v>344</v>
      </c>
      <c r="C491" t="s">
        <v>12</v>
      </c>
      <c r="D491" t="s">
        <v>13</v>
      </c>
      <c r="E491" t="s">
        <v>23</v>
      </c>
      <c r="F491" t="s">
        <v>24</v>
      </c>
      <c r="G491">
        <v>7</v>
      </c>
      <c r="H491">
        <v>12000</v>
      </c>
      <c r="I491">
        <v>0</v>
      </c>
      <c r="J491">
        <v>84000</v>
      </c>
      <c r="K491">
        <v>18157.62</v>
      </c>
    </row>
    <row r="492" spans="1:11" x14ac:dyDescent="0.25">
      <c r="A492">
        <v>1491</v>
      </c>
      <c r="B492" t="s">
        <v>161</v>
      </c>
      <c r="C492" t="s">
        <v>26</v>
      </c>
      <c r="D492" t="s">
        <v>13</v>
      </c>
      <c r="E492" t="s">
        <v>28</v>
      </c>
      <c r="F492" t="s">
        <v>15</v>
      </c>
      <c r="G492">
        <v>10</v>
      </c>
      <c r="H492">
        <v>800</v>
      </c>
      <c r="I492">
        <v>0</v>
      </c>
      <c r="J492">
        <v>8000</v>
      </c>
      <c r="K492">
        <v>1075.5999999999999</v>
      </c>
    </row>
    <row r="493" spans="1:11" x14ac:dyDescent="0.25">
      <c r="A493">
        <v>1492</v>
      </c>
      <c r="B493" t="s">
        <v>229</v>
      </c>
      <c r="C493" t="s">
        <v>12</v>
      </c>
      <c r="D493" t="s">
        <v>17</v>
      </c>
      <c r="E493" t="s">
        <v>14</v>
      </c>
      <c r="F493" t="s">
        <v>15</v>
      </c>
      <c r="G493">
        <v>8</v>
      </c>
      <c r="H493">
        <v>1500</v>
      </c>
      <c r="I493">
        <v>15</v>
      </c>
      <c r="J493">
        <v>10200</v>
      </c>
      <c r="K493">
        <v>2042.79</v>
      </c>
    </row>
    <row r="494" spans="1:11" x14ac:dyDescent="0.25">
      <c r="A494">
        <v>1493</v>
      </c>
      <c r="B494" t="s">
        <v>270</v>
      </c>
      <c r="C494" t="s">
        <v>32</v>
      </c>
      <c r="D494" t="s">
        <v>17</v>
      </c>
      <c r="E494" t="s">
        <v>43</v>
      </c>
      <c r="F494" t="s">
        <v>24</v>
      </c>
      <c r="G494">
        <v>3</v>
      </c>
      <c r="H494">
        <v>9000</v>
      </c>
      <c r="I494">
        <v>15</v>
      </c>
      <c r="J494">
        <v>22950</v>
      </c>
      <c r="K494">
        <v>2803.77</v>
      </c>
    </row>
    <row r="495" spans="1:11" x14ac:dyDescent="0.25">
      <c r="A495">
        <v>1494</v>
      </c>
      <c r="B495" t="s">
        <v>324</v>
      </c>
      <c r="C495" t="s">
        <v>12</v>
      </c>
      <c r="D495" t="s">
        <v>13</v>
      </c>
      <c r="E495" t="s">
        <v>14</v>
      </c>
      <c r="F495" t="s">
        <v>15</v>
      </c>
      <c r="G495">
        <v>7</v>
      </c>
      <c r="H495">
        <v>1500</v>
      </c>
      <c r="I495">
        <v>5</v>
      </c>
      <c r="J495">
        <v>9975</v>
      </c>
      <c r="K495">
        <v>950.53</v>
      </c>
    </row>
    <row r="496" spans="1:11" x14ac:dyDescent="0.25">
      <c r="A496">
        <v>1495</v>
      </c>
      <c r="B496" t="s">
        <v>59</v>
      </c>
      <c r="C496" t="s">
        <v>41</v>
      </c>
      <c r="D496" t="s">
        <v>13</v>
      </c>
      <c r="E496" t="s">
        <v>23</v>
      </c>
      <c r="F496" t="s">
        <v>24</v>
      </c>
      <c r="G496">
        <v>9</v>
      </c>
      <c r="H496">
        <v>12000</v>
      </c>
      <c r="I496">
        <v>5</v>
      </c>
      <c r="J496">
        <v>102600</v>
      </c>
      <c r="K496">
        <v>9412.16</v>
      </c>
    </row>
    <row r="497" spans="1:11" x14ac:dyDescent="0.25">
      <c r="A497">
        <v>1496</v>
      </c>
      <c r="B497" t="s">
        <v>65</v>
      </c>
      <c r="C497" t="s">
        <v>26</v>
      </c>
      <c r="D497" t="s">
        <v>13</v>
      </c>
      <c r="E497" t="s">
        <v>14</v>
      </c>
      <c r="F497" t="s">
        <v>15</v>
      </c>
      <c r="G497">
        <v>9</v>
      </c>
      <c r="H497">
        <v>1500</v>
      </c>
      <c r="I497">
        <v>5</v>
      </c>
      <c r="J497">
        <v>12825</v>
      </c>
      <c r="K497">
        <v>2782.66</v>
      </c>
    </row>
    <row r="498" spans="1:11" x14ac:dyDescent="0.25">
      <c r="A498">
        <v>1497</v>
      </c>
      <c r="B498" t="s">
        <v>345</v>
      </c>
      <c r="C498" t="s">
        <v>47</v>
      </c>
      <c r="D498" t="s">
        <v>27</v>
      </c>
      <c r="E498" t="s">
        <v>34</v>
      </c>
      <c r="F498" t="s">
        <v>24</v>
      </c>
      <c r="G498">
        <v>6</v>
      </c>
      <c r="H498">
        <v>55000</v>
      </c>
      <c r="I498">
        <v>10</v>
      </c>
      <c r="J498">
        <v>297000</v>
      </c>
      <c r="K498">
        <v>72594.11</v>
      </c>
    </row>
    <row r="499" spans="1:11" x14ac:dyDescent="0.25">
      <c r="A499">
        <v>1498</v>
      </c>
      <c r="B499" t="s">
        <v>58</v>
      </c>
      <c r="C499" t="s">
        <v>39</v>
      </c>
      <c r="D499" t="s">
        <v>17</v>
      </c>
      <c r="E499" t="s">
        <v>18</v>
      </c>
      <c r="F499" t="s">
        <v>19</v>
      </c>
      <c r="G499">
        <v>5</v>
      </c>
      <c r="H499">
        <v>7000</v>
      </c>
      <c r="I499">
        <v>20</v>
      </c>
      <c r="J499">
        <v>28000</v>
      </c>
      <c r="K499">
        <v>6204.6</v>
      </c>
    </row>
    <row r="500" spans="1:11" x14ac:dyDescent="0.25">
      <c r="A500">
        <v>1499</v>
      </c>
      <c r="B500" t="s">
        <v>302</v>
      </c>
      <c r="C500" t="s">
        <v>39</v>
      </c>
      <c r="D500" t="s">
        <v>27</v>
      </c>
      <c r="E500" t="s">
        <v>23</v>
      </c>
      <c r="F500" t="s">
        <v>24</v>
      </c>
      <c r="G500">
        <v>5</v>
      </c>
      <c r="H500">
        <v>12000</v>
      </c>
      <c r="I500">
        <v>20</v>
      </c>
      <c r="J500">
        <v>48000</v>
      </c>
      <c r="K500">
        <v>9868.2000000000007</v>
      </c>
    </row>
    <row r="501" spans="1:11" x14ac:dyDescent="0.25">
      <c r="A501">
        <v>1500</v>
      </c>
      <c r="B501" t="s">
        <v>346</v>
      </c>
      <c r="C501" t="s">
        <v>45</v>
      </c>
      <c r="D501" t="s">
        <v>27</v>
      </c>
      <c r="E501" t="s">
        <v>28</v>
      </c>
      <c r="F501" t="s">
        <v>15</v>
      </c>
      <c r="G501">
        <v>7</v>
      </c>
      <c r="H501">
        <v>800</v>
      </c>
      <c r="I501">
        <v>0</v>
      </c>
      <c r="J501">
        <v>5600</v>
      </c>
      <c r="K501">
        <v>498.38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selection activeCell="A2" sqref="A2"/>
    </sheetView>
  </sheetViews>
  <sheetFormatPr defaultRowHeight="15" x14ac:dyDescent="0.25"/>
  <cols>
    <col min="1" max="1" width="11.28515625" bestFit="1" customWidth="1"/>
    <col min="2" max="2" width="13.5703125" bestFit="1" customWidth="1"/>
    <col min="3" max="3" width="18.28515625" bestFit="1" customWidth="1"/>
    <col min="4" max="4" width="9.42578125" bestFit="1" customWidth="1"/>
    <col min="5" max="5" width="10.140625" bestFit="1" customWidth="1"/>
    <col min="6" max="6" width="11.28515625" bestFit="1" customWidth="1"/>
    <col min="7" max="7" width="11" bestFit="1" customWidth="1"/>
    <col min="8" max="8" width="12.5703125" bestFit="1" customWidth="1"/>
    <col min="9" max="9" width="13.5703125" bestFit="1" customWidth="1"/>
    <col min="10" max="10" width="7.85546875" bestFit="1" customWidth="1"/>
    <col min="11" max="11" width="10" bestFit="1" customWidth="1"/>
    <col min="12" max="12" width="16.7109375" bestFit="1" customWidth="1"/>
    <col min="13" max="13" width="7.28515625" bestFit="1" customWidth="1"/>
    <col min="14" max="14" width="10.85546875" bestFit="1" customWidth="1"/>
    <col min="15" max="15" width="16.28515625" bestFit="1" customWidth="1"/>
    <col min="16" max="16" width="18.7109375" bestFit="1" customWidth="1"/>
    <col min="17" max="17" width="11.5703125" bestFit="1" customWidth="1"/>
    <col min="18" max="18" width="14.7109375" bestFit="1" customWidth="1"/>
    <col min="19" max="19" width="13.42578125" bestFit="1" customWidth="1"/>
  </cols>
  <sheetData>
    <row r="1" spans="1:19" x14ac:dyDescent="0.25">
      <c r="A1" s="2" t="s">
        <v>0</v>
      </c>
      <c r="B1" s="2" t="s">
        <v>1</v>
      </c>
      <c r="C1" s="2" t="s">
        <v>2</v>
      </c>
      <c r="D1" s="2" t="s">
        <v>3</v>
      </c>
      <c r="E1" s="2" t="s">
        <v>4</v>
      </c>
      <c r="F1" s="2" t="s">
        <v>5</v>
      </c>
      <c r="G1" s="2" t="s">
        <v>6</v>
      </c>
      <c r="H1" s="2" t="s">
        <v>7</v>
      </c>
      <c r="I1" s="2" t="s">
        <v>8</v>
      </c>
      <c r="J1" s="2" t="s">
        <v>9</v>
      </c>
      <c r="K1" s="2" t="s">
        <v>10</v>
      </c>
      <c r="L1" s="2" t="s">
        <v>347</v>
      </c>
      <c r="M1" s="2" t="s">
        <v>348</v>
      </c>
      <c r="N1" s="2" t="s">
        <v>349</v>
      </c>
      <c r="O1" s="2" t="s">
        <v>350</v>
      </c>
      <c r="P1" s="2" t="s">
        <v>351</v>
      </c>
      <c r="Q1" s="2" t="s">
        <v>352</v>
      </c>
      <c r="R1" s="4" t="s">
        <v>353</v>
      </c>
      <c r="S1" s="3" t="s">
        <v>358</v>
      </c>
    </row>
    <row r="2" spans="1:19" x14ac:dyDescent="0.25">
      <c r="A2" s="1">
        <v>1035</v>
      </c>
      <c r="B2" s="1" t="s">
        <v>58</v>
      </c>
      <c r="C2" s="1" t="s">
        <v>39</v>
      </c>
      <c r="D2" s="1" t="s">
        <v>13</v>
      </c>
      <c r="E2" s="1" t="s">
        <v>34</v>
      </c>
      <c r="F2" s="1" t="s">
        <v>24</v>
      </c>
      <c r="G2" s="1">
        <v>10</v>
      </c>
      <c r="H2" s="1">
        <v>55000</v>
      </c>
      <c r="I2" s="1">
        <v>0</v>
      </c>
      <c r="J2" s="1">
        <v>550000</v>
      </c>
      <c r="K2" s="1">
        <v>126766.07</v>
      </c>
      <c r="L2" s="1" t="str">
        <f>IF(K2&gt;=15000,"High Profit","Low Profit")</f>
        <v>High Profit</v>
      </c>
      <c r="M2" s="1">
        <f>YEAR(B2)</f>
        <v>2025</v>
      </c>
      <c r="N2" s="1" t="str">
        <f>TEXT(B2,"mmmm")</f>
        <v>August</v>
      </c>
      <c r="O2" s="1" t="str">
        <f>IF(J2&gt;=100000,"Excellent", IF(J2&gt;=50000,"Good","Average"))</f>
        <v>Excellent</v>
      </c>
      <c r="P2" s="1">
        <f>(H2*G2)*(I2/100)</f>
        <v>0</v>
      </c>
      <c r="Q2" s="1">
        <f ca="1">J2-Q2</f>
        <v>0</v>
      </c>
      <c r="R2" s="1">
        <f>SUM(J:J)</f>
        <v>34878370</v>
      </c>
      <c r="S2" s="1" t="s">
        <v>354</v>
      </c>
    </row>
    <row r="3" spans="1:19" x14ac:dyDescent="0.25">
      <c r="A3" s="1">
        <v>1085</v>
      </c>
      <c r="B3" s="1" t="s">
        <v>109</v>
      </c>
      <c r="C3" s="1" t="s">
        <v>47</v>
      </c>
      <c r="D3" s="1" t="s">
        <v>13</v>
      </c>
      <c r="E3" s="1" t="s">
        <v>34</v>
      </c>
      <c r="F3" s="1" t="s">
        <v>24</v>
      </c>
      <c r="G3" s="1">
        <v>10</v>
      </c>
      <c r="H3" s="1">
        <v>55000</v>
      </c>
      <c r="I3" s="1">
        <v>0</v>
      </c>
      <c r="J3" s="1">
        <v>550000</v>
      </c>
      <c r="K3" s="1">
        <v>98066.59</v>
      </c>
      <c r="L3" s="1" t="str">
        <f>IF(K3&gt;=15000,"High Profit","Low Profit")</f>
        <v>High Profit</v>
      </c>
      <c r="M3" s="1">
        <f>YEAR(B3)</f>
        <v>2026</v>
      </c>
      <c r="N3" s="1" t="str">
        <f>TEXT(B3,"mmmm")</f>
        <v>April</v>
      </c>
      <c r="O3" s="1" t="str">
        <f>IF(J3&gt;=100000,"Excellent", IF(J3&gt;=50000,"Good","Average"))</f>
        <v>Excellent</v>
      </c>
      <c r="P3" s="1">
        <f>(H3*G3)*(I3/100)</f>
        <v>0</v>
      </c>
      <c r="Q3" s="1">
        <f ca="1">J3-Q3</f>
        <v>0</v>
      </c>
      <c r="R3" s="1">
        <f>SUM(K:K)</f>
        <v>5607977.9399999995</v>
      </c>
      <c r="S3" s="1" t="s">
        <v>355</v>
      </c>
    </row>
    <row r="4" spans="1:19" x14ac:dyDescent="0.25">
      <c r="A4" s="1">
        <v>1093</v>
      </c>
      <c r="B4" s="1" t="s">
        <v>117</v>
      </c>
      <c r="C4" s="1" t="s">
        <v>39</v>
      </c>
      <c r="D4" s="1" t="s">
        <v>13</v>
      </c>
      <c r="E4" s="1" t="s">
        <v>34</v>
      </c>
      <c r="F4" s="1" t="s">
        <v>24</v>
      </c>
      <c r="G4" s="1">
        <v>10</v>
      </c>
      <c r="H4" s="1">
        <v>55000</v>
      </c>
      <c r="I4" s="1">
        <v>0</v>
      </c>
      <c r="J4" s="1">
        <v>550000</v>
      </c>
      <c r="K4" s="1">
        <v>68359.240000000005</v>
      </c>
      <c r="L4" s="1" t="str">
        <f>IF(K4&gt;=15000,"High Profit","Low Profit")</f>
        <v>High Profit</v>
      </c>
      <c r="M4" s="1">
        <f>YEAR(B4)</f>
        <v>2025</v>
      </c>
      <c r="N4" s="1" t="str">
        <f>TEXT(B4,"mmmm")</f>
        <v>February</v>
      </c>
      <c r="O4" s="1" t="str">
        <f>IF(J4&gt;=100000,"Excellent", IF(J4&gt;=50000,"Good","Average"))</f>
        <v>Excellent</v>
      </c>
      <c r="P4" s="1">
        <f>(H4*G4)*(I4/100)</f>
        <v>0</v>
      </c>
      <c r="Q4" s="1">
        <f ca="1">J4-Q4</f>
        <v>0</v>
      </c>
      <c r="R4" s="1">
        <f>COUNTA(A:A)-1</f>
        <v>500</v>
      </c>
      <c r="S4" s="1" t="s">
        <v>356</v>
      </c>
    </row>
    <row r="5" spans="1:19" x14ac:dyDescent="0.25">
      <c r="A5" s="1">
        <v>1211</v>
      </c>
      <c r="B5" s="1" t="s">
        <v>131</v>
      </c>
      <c r="C5" s="1" t="s">
        <v>39</v>
      </c>
      <c r="D5" s="1" t="s">
        <v>13</v>
      </c>
      <c r="E5" s="1" t="s">
        <v>34</v>
      </c>
      <c r="F5" s="1" t="s">
        <v>24</v>
      </c>
      <c r="G5" s="1">
        <v>10</v>
      </c>
      <c r="H5" s="1">
        <v>55000</v>
      </c>
      <c r="I5" s="1">
        <v>0</v>
      </c>
      <c r="J5" s="1">
        <v>550000</v>
      </c>
      <c r="K5" s="1">
        <v>44059.68</v>
      </c>
      <c r="L5" s="1" t="str">
        <f>IF(K5&gt;=15000,"High Profit","Low Profit")</f>
        <v>High Profit</v>
      </c>
      <c r="M5" s="1">
        <f>YEAR(B5)</f>
        <v>2026</v>
      </c>
      <c r="N5" s="1" t="str">
        <f>TEXT(B5,"mmmm")</f>
        <v>June</v>
      </c>
      <c r="O5" s="1" t="str">
        <f>IF(J5&gt;=100000,"Excellent", IF(J5&gt;=50000,"Good","Average"))</f>
        <v>Excellent</v>
      </c>
      <c r="P5" s="1">
        <f>(H5*G5)*(I5/100)</f>
        <v>0</v>
      </c>
      <c r="Q5" s="1">
        <f ca="1">J5-Q5</f>
        <v>0</v>
      </c>
      <c r="R5" s="1">
        <f>AVERAGE(J:J)</f>
        <v>69756.740000000005</v>
      </c>
      <c r="S5" s="1" t="s">
        <v>357</v>
      </c>
    </row>
    <row r="6" spans="1:19" x14ac:dyDescent="0.25">
      <c r="A6" s="1">
        <v>1228</v>
      </c>
      <c r="B6" s="1" t="s">
        <v>218</v>
      </c>
      <c r="C6" s="1" t="s">
        <v>32</v>
      </c>
      <c r="D6" s="1" t="s">
        <v>27</v>
      </c>
      <c r="E6" s="1" t="s">
        <v>34</v>
      </c>
      <c r="F6" s="1" t="s">
        <v>24</v>
      </c>
      <c r="G6" s="1">
        <v>10</v>
      </c>
      <c r="H6" s="1">
        <v>55000</v>
      </c>
      <c r="I6" s="1">
        <v>0</v>
      </c>
      <c r="J6" s="1">
        <v>550000</v>
      </c>
      <c r="K6" s="1">
        <v>90324.56</v>
      </c>
      <c r="L6" s="1" t="str">
        <f>IF(K6&gt;=15000,"High Profit","Low Profit")</f>
        <v>High Profit</v>
      </c>
      <c r="M6" s="1">
        <f>YEAR(B6)</f>
        <v>2025</v>
      </c>
      <c r="N6" s="1" t="str">
        <f>TEXT(B6,"mmmm")</f>
        <v>November</v>
      </c>
      <c r="O6" s="1" t="str">
        <f>IF(J6&gt;=100000,"Excellent", IF(J6&gt;=50000,"Good","Average"))</f>
        <v>Excellent</v>
      </c>
      <c r="P6" s="1">
        <f>(H6*G6)*(I6/100)</f>
        <v>0</v>
      </c>
      <c r="Q6" s="1">
        <f ca="1">J6-Q6</f>
        <v>0</v>
      </c>
    </row>
    <row r="7" spans="1:19" x14ac:dyDescent="0.25">
      <c r="A7" s="1">
        <v>1007</v>
      </c>
      <c r="B7" s="1" t="s">
        <v>33</v>
      </c>
      <c r="C7" s="1" t="s">
        <v>30</v>
      </c>
      <c r="D7" s="1" t="s">
        <v>27</v>
      </c>
      <c r="E7" s="1" t="s">
        <v>34</v>
      </c>
      <c r="F7" s="1" t="s">
        <v>24</v>
      </c>
      <c r="G7" s="1">
        <v>9</v>
      </c>
      <c r="H7" s="1">
        <v>55000</v>
      </c>
      <c r="I7" s="1">
        <v>0</v>
      </c>
      <c r="J7" s="1">
        <v>495000</v>
      </c>
      <c r="K7" s="1">
        <v>48387.56</v>
      </c>
      <c r="L7" s="1" t="str">
        <f>IF(K7&gt;=15000,"High Profit","Low Profit")</f>
        <v>High Profit</v>
      </c>
      <c r="M7" s="1">
        <f>YEAR(B7)</f>
        <v>2025</v>
      </c>
      <c r="N7" s="1" t="str">
        <f>TEXT(B7,"mmmm")</f>
        <v>January</v>
      </c>
      <c r="O7" s="1" t="str">
        <f>IF(J7&gt;=100000,"Excellent", IF(J7&gt;=50000,"Good","Average"))</f>
        <v>Excellent</v>
      </c>
      <c r="P7" s="1">
        <f>(H7*G7)*(I7/100)</f>
        <v>0</v>
      </c>
      <c r="Q7" s="1">
        <f ca="1">J7-Q7</f>
        <v>0</v>
      </c>
    </row>
    <row r="8" spans="1:19" x14ac:dyDescent="0.25">
      <c r="A8" s="1">
        <v>1086</v>
      </c>
      <c r="B8" s="1" t="s">
        <v>110</v>
      </c>
      <c r="C8" s="1" t="s">
        <v>36</v>
      </c>
      <c r="D8" s="1" t="s">
        <v>22</v>
      </c>
      <c r="E8" s="1" t="s">
        <v>34</v>
      </c>
      <c r="F8" s="1" t="s">
        <v>24</v>
      </c>
      <c r="G8" s="1">
        <v>10</v>
      </c>
      <c r="H8" s="1">
        <v>55000</v>
      </c>
      <c r="I8" s="1">
        <v>10</v>
      </c>
      <c r="J8" s="1">
        <v>495000</v>
      </c>
      <c r="K8" s="1">
        <v>99251.65</v>
      </c>
      <c r="L8" s="1" t="str">
        <f>IF(K8&gt;=15000,"High Profit","Low Profit")</f>
        <v>High Profit</v>
      </c>
      <c r="M8" s="1">
        <f>YEAR(B8)</f>
        <v>2025</v>
      </c>
      <c r="N8" s="1" t="str">
        <f>TEXT(B8,"mmmm")</f>
        <v>March</v>
      </c>
      <c r="O8" s="1" t="str">
        <f>IF(J8&gt;=100000,"Excellent", IF(J8&gt;=50000,"Good","Average"))</f>
        <v>Excellent</v>
      </c>
      <c r="P8" s="1">
        <f>(H8*G8)*(I8/100)</f>
        <v>55000</v>
      </c>
      <c r="Q8" s="1">
        <f ca="1">J8-Q8</f>
        <v>0</v>
      </c>
    </row>
    <row r="9" spans="1:19" x14ac:dyDescent="0.25">
      <c r="A9" s="1">
        <v>1099</v>
      </c>
      <c r="B9" s="1" t="s">
        <v>122</v>
      </c>
      <c r="C9" s="1" t="s">
        <v>30</v>
      </c>
      <c r="D9" s="1" t="s">
        <v>27</v>
      </c>
      <c r="E9" s="1" t="s">
        <v>34</v>
      </c>
      <c r="F9" s="1" t="s">
        <v>24</v>
      </c>
      <c r="G9" s="1">
        <v>10</v>
      </c>
      <c r="H9" s="1">
        <v>55000</v>
      </c>
      <c r="I9" s="1">
        <v>10</v>
      </c>
      <c r="J9" s="1">
        <v>495000</v>
      </c>
      <c r="K9" s="1">
        <v>81598.19</v>
      </c>
      <c r="L9" s="1" t="str">
        <f>IF(K9&gt;=15000,"High Profit","Low Profit")</f>
        <v>High Profit</v>
      </c>
      <c r="M9" s="1">
        <f>YEAR(B9)</f>
        <v>2025</v>
      </c>
      <c r="N9" s="1" t="str">
        <f>TEXT(B9,"mmmm")</f>
        <v>February</v>
      </c>
      <c r="O9" s="1" t="str">
        <f>IF(J9&gt;=100000,"Excellent", IF(J9&gt;=50000,"Good","Average"))</f>
        <v>Excellent</v>
      </c>
      <c r="P9" s="1">
        <f>(H9*G9)*(I9/100)</f>
        <v>55000</v>
      </c>
      <c r="Q9" s="1">
        <f ca="1">J9-Q9</f>
        <v>0</v>
      </c>
    </row>
    <row r="10" spans="1:19" x14ac:dyDescent="0.25">
      <c r="A10" s="1">
        <v>1254</v>
      </c>
      <c r="B10" s="1" t="s">
        <v>227</v>
      </c>
      <c r="C10" s="1" t="s">
        <v>36</v>
      </c>
      <c r="D10" s="1" t="s">
        <v>22</v>
      </c>
      <c r="E10" s="1" t="s">
        <v>34</v>
      </c>
      <c r="F10" s="1" t="s">
        <v>24</v>
      </c>
      <c r="G10" s="1">
        <v>10</v>
      </c>
      <c r="H10" s="1">
        <v>55000</v>
      </c>
      <c r="I10" s="1">
        <v>10</v>
      </c>
      <c r="J10" s="1">
        <v>495000</v>
      </c>
      <c r="K10" s="1">
        <v>114770.47</v>
      </c>
      <c r="L10" s="1" t="str">
        <f>IF(K10&gt;=15000,"High Profit","Low Profit")</f>
        <v>High Profit</v>
      </c>
      <c r="M10" s="1">
        <f>YEAR(B10)</f>
        <v>2025</v>
      </c>
      <c r="N10" s="1" t="str">
        <f>TEXT(B10,"mmmm")</f>
        <v>August</v>
      </c>
      <c r="O10" s="1" t="str">
        <f>IF(J10&gt;=100000,"Excellent", IF(J10&gt;=50000,"Good","Average"))</f>
        <v>Excellent</v>
      </c>
      <c r="P10" s="1">
        <f>(H10*G10)*(I10/100)</f>
        <v>55000</v>
      </c>
      <c r="Q10" s="1">
        <f ca="1">J10-Q10</f>
        <v>0</v>
      </c>
    </row>
    <row r="11" spans="1:19" x14ac:dyDescent="0.25">
      <c r="A11" s="1">
        <v>1261</v>
      </c>
      <c r="B11" s="1" t="s">
        <v>83</v>
      </c>
      <c r="C11" s="1" t="s">
        <v>12</v>
      </c>
      <c r="D11" s="1" t="s">
        <v>13</v>
      </c>
      <c r="E11" s="1" t="s">
        <v>34</v>
      </c>
      <c r="F11" s="1" t="s">
        <v>24</v>
      </c>
      <c r="G11" s="1">
        <v>9</v>
      </c>
      <c r="H11" s="1">
        <v>55000</v>
      </c>
      <c r="I11" s="1">
        <v>0</v>
      </c>
      <c r="J11" s="1">
        <v>495000</v>
      </c>
      <c r="K11" s="1">
        <v>81689.919999999998</v>
      </c>
      <c r="L11" s="1" t="str">
        <f>IF(K11&gt;=15000,"High Profit","Low Profit")</f>
        <v>High Profit</v>
      </c>
      <c r="M11" s="1">
        <f>YEAR(B11)</f>
        <v>2025</v>
      </c>
      <c r="N11" s="1" t="str">
        <f>TEXT(B11,"mmmm")</f>
        <v>February</v>
      </c>
      <c r="O11" s="1" t="str">
        <f>IF(J11&gt;=100000,"Excellent", IF(J11&gt;=50000,"Good","Average"))</f>
        <v>Excellent</v>
      </c>
      <c r="P11" s="1">
        <f>(H11*G11)*(I11/100)</f>
        <v>0</v>
      </c>
      <c r="Q11" s="1">
        <f ca="1">J11-Q11</f>
        <v>0</v>
      </c>
    </row>
    <row r="12" spans="1:19" x14ac:dyDescent="0.25">
      <c r="A12" s="1">
        <v>1315</v>
      </c>
      <c r="B12" s="1" t="s">
        <v>94</v>
      </c>
      <c r="C12" s="1" t="s">
        <v>26</v>
      </c>
      <c r="D12" s="1" t="s">
        <v>17</v>
      </c>
      <c r="E12" s="1" t="s">
        <v>34</v>
      </c>
      <c r="F12" s="1" t="s">
        <v>24</v>
      </c>
      <c r="G12" s="1">
        <v>10</v>
      </c>
      <c r="H12" s="1">
        <v>55000</v>
      </c>
      <c r="I12" s="1">
        <v>15</v>
      </c>
      <c r="J12" s="1">
        <v>467500</v>
      </c>
      <c r="K12" s="1">
        <v>90548.62</v>
      </c>
      <c r="L12" s="1" t="str">
        <f>IF(K12&gt;=15000,"High Profit","Low Profit")</f>
        <v>High Profit</v>
      </c>
      <c r="M12" s="1">
        <f>YEAR(B12)</f>
        <v>2026</v>
      </c>
      <c r="N12" s="1" t="str">
        <f>TEXT(B12,"mmmm")</f>
        <v>March</v>
      </c>
      <c r="O12" s="1" t="str">
        <f>IF(J12&gt;=100000,"Excellent", IF(J12&gt;=50000,"Good","Average"))</f>
        <v>Excellent</v>
      </c>
      <c r="P12" s="1">
        <f>(H12*G12)*(I12/100)</f>
        <v>82500</v>
      </c>
      <c r="Q12" s="1">
        <f ca="1">J12-Q12</f>
        <v>0</v>
      </c>
    </row>
    <row r="13" spans="1:19" x14ac:dyDescent="0.25">
      <c r="A13" s="1">
        <v>1387</v>
      </c>
      <c r="B13" s="1" t="s">
        <v>189</v>
      </c>
      <c r="C13" s="1" t="s">
        <v>12</v>
      </c>
      <c r="D13" s="1" t="s">
        <v>13</v>
      </c>
      <c r="E13" s="1" t="s">
        <v>34</v>
      </c>
      <c r="F13" s="1" t="s">
        <v>24</v>
      </c>
      <c r="G13" s="1">
        <v>10</v>
      </c>
      <c r="H13" s="1">
        <v>55000</v>
      </c>
      <c r="I13" s="1">
        <v>15</v>
      </c>
      <c r="J13" s="1">
        <v>467500</v>
      </c>
      <c r="K13" s="1">
        <v>43203.53</v>
      </c>
      <c r="L13" s="1" t="str">
        <f>IF(K13&gt;=15000,"High Profit","Low Profit")</f>
        <v>High Profit</v>
      </c>
      <c r="M13" s="1">
        <f>YEAR(B13)</f>
        <v>2025</v>
      </c>
      <c r="N13" s="1" t="str">
        <f>TEXT(B13,"mmmm")</f>
        <v>May</v>
      </c>
      <c r="O13" s="1" t="str">
        <f>IF(J13&gt;=100000,"Excellent", IF(J13&gt;=50000,"Good","Average"))</f>
        <v>Excellent</v>
      </c>
      <c r="P13" s="1">
        <f>(H13*G13)*(I13/100)</f>
        <v>82500</v>
      </c>
      <c r="Q13" s="1">
        <f ca="1">J13-Q13</f>
        <v>0</v>
      </c>
    </row>
    <row r="14" spans="1:19" x14ac:dyDescent="0.25">
      <c r="A14" s="1">
        <v>1399</v>
      </c>
      <c r="B14" s="1" t="s">
        <v>69</v>
      </c>
      <c r="C14" s="1" t="s">
        <v>21</v>
      </c>
      <c r="D14" s="1" t="s">
        <v>13</v>
      </c>
      <c r="E14" s="1" t="s">
        <v>34</v>
      </c>
      <c r="F14" s="1" t="s">
        <v>24</v>
      </c>
      <c r="G14" s="1">
        <v>10</v>
      </c>
      <c r="H14" s="1">
        <v>55000</v>
      </c>
      <c r="I14" s="1">
        <v>15</v>
      </c>
      <c r="J14" s="1">
        <v>467500</v>
      </c>
      <c r="K14" s="1">
        <v>63109.95</v>
      </c>
      <c r="L14" s="1" t="str">
        <f>IF(K14&gt;=15000,"High Profit","Low Profit")</f>
        <v>High Profit</v>
      </c>
      <c r="M14" s="1">
        <f>YEAR(B14)</f>
        <v>2025</v>
      </c>
      <c r="N14" s="1" t="str">
        <f>TEXT(B14,"mmmm")</f>
        <v>June</v>
      </c>
      <c r="O14" s="1" t="str">
        <f>IF(J14&gt;=100000,"Excellent", IF(J14&gt;=50000,"Good","Average"))</f>
        <v>Excellent</v>
      </c>
      <c r="P14" s="1">
        <f>(H14*G14)*(I14/100)</f>
        <v>82500</v>
      </c>
      <c r="Q14" s="1">
        <f ca="1">J14-Q14</f>
        <v>0</v>
      </c>
    </row>
    <row r="15" spans="1:19" x14ac:dyDescent="0.25">
      <c r="A15" s="1">
        <v>1107</v>
      </c>
      <c r="B15" s="1" t="s">
        <v>130</v>
      </c>
      <c r="C15" s="1" t="s">
        <v>47</v>
      </c>
      <c r="D15" s="1" t="s">
        <v>22</v>
      </c>
      <c r="E15" s="1" t="s">
        <v>34</v>
      </c>
      <c r="F15" s="1" t="s">
        <v>24</v>
      </c>
      <c r="G15" s="1">
        <v>10</v>
      </c>
      <c r="H15" s="1">
        <v>55000</v>
      </c>
      <c r="I15" s="1">
        <v>20</v>
      </c>
      <c r="J15" s="1">
        <v>440000</v>
      </c>
      <c r="K15" s="1">
        <v>104489.18</v>
      </c>
      <c r="L15" s="1" t="str">
        <f>IF(K15&gt;=15000,"High Profit","Low Profit")</f>
        <v>High Profit</v>
      </c>
      <c r="M15" s="1">
        <f>YEAR(B15)</f>
        <v>2026</v>
      </c>
      <c r="N15" s="1" t="str">
        <f>TEXT(B15,"mmmm")</f>
        <v>February</v>
      </c>
      <c r="O15" s="1" t="str">
        <f>IF(J15&gt;=100000,"Excellent", IF(J15&gt;=50000,"Good","Average"))</f>
        <v>Excellent</v>
      </c>
      <c r="P15" s="1">
        <f>(H15*G15)*(I15/100)</f>
        <v>110000</v>
      </c>
      <c r="Q15" s="1">
        <f ca="1">J15-Q15</f>
        <v>0</v>
      </c>
    </row>
    <row r="16" spans="1:19" x14ac:dyDescent="0.25">
      <c r="A16" s="1">
        <v>1109</v>
      </c>
      <c r="B16" s="1" t="s">
        <v>132</v>
      </c>
      <c r="C16" s="1" t="s">
        <v>26</v>
      </c>
      <c r="D16" s="1" t="s">
        <v>13</v>
      </c>
      <c r="E16" s="1" t="s">
        <v>34</v>
      </c>
      <c r="F16" s="1" t="s">
        <v>24</v>
      </c>
      <c r="G16" s="1">
        <v>8</v>
      </c>
      <c r="H16" s="1">
        <v>55000</v>
      </c>
      <c r="I16" s="1">
        <v>0</v>
      </c>
      <c r="J16" s="1">
        <v>440000</v>
      </c>
      <c r="K16" s="1">
        <v>101201.92</v>
      </c>
      <c r="L16" s="1" t="str">
        <f>IF(K16&gt;=15000,"High Profit","Low Profit")</f>
        <v>High Profit</v>
      </c>
      <c r="M16" s="1">
        <f>YEAR(B16)</f>
        <v>2026</v>
      </c>
      <c r="N16" s="1" t="str">
        <f>TEXT(B16,"mmmm")</f>
        <v>March</v>
      </c>
      <c r="O16" s="1" t="str">
        <f>IF(J16&gt;=100000,"Excellent", IF(J16&gt;=50000,"Good","Average"))</f>
        <v>Excellent</v>
      </c>
      <c r="P16" s="1">
        <f>(H16*G16)*(I16/100)</f>
        <v>0</v>
      </c>
      <c r="Q16" s="1">
        <f ca="1">J16-Q16</f>
        <v>0</v>
      </c>
    </row>
    <row r="17" spans="1:17" x14ac:dyDescent="0.25">
      <c r="A17" s="1">
        <v>1484</v>
      </c>
      <c r="B17" s="1" t="s">
        <v>72</v>
      </c>
      <c r="C17" s="1" t="s">
        <v>12</v>
      </c>
      <c r="D17" s="1" t="s">
        <v>13</v>
      </c>
      <c r="E17" s="1" t="s">
        <v>34</v>
      </c>
      <c r="F17" s="1" t="s">
        <v>24</v>
      </c>
      <c r="G17" s="1">
        <v>8</v>
      </c>
      <c r="H17" s="1">
        <v>55000</v>
      </c>
      <c r="I17" s="1">
        <v>0</v>
      </c>
      <c r="J17" s="1">
        <v>440000</v>
      </c>
      <c r="K17" s="1">
        <v>85978.48</v>
      </c>
      <c r="L17" s="1" t="str">
        <f>IF(K17&gt;=15000,"High Profit","Low Profit")</f>
        <v>High Profit</v>
      </c>
      <c r="M17" s="1">
        <f>YEAR(B17)</f>
        <v>2026</v>
      </c>
      <c r="N17" s="1" t="str">
        <f>TEXT(B17,"mmmm")</f>
        <v>January</v>
      </c>
      <c r="O17" s="1" t="str">
        <f>IF(J17&gt;=100000,"Excellent", IF(J17&gt;=50000,"Good","Average"))</f>
        <v>Excellent</v>
      </c>
      <c r="P17" s="1">
        <f>(H17*G17)*(I17/100)</f>
        <v>0</v>
      </c>
      <c r="Q17" s="1">
        <f ca="1">J17-Q17</f>
        <v>0</v>
      </c>
    </row>
    <row r="18" spans="1:17" x14ac:dyDescent="0.25">
      <c r="A18" s="1">
        <v>1041</v>
      </c>
      <c r="B18" s="1" t="s">
        <v>68</v>
      </c>
      <c r="C18" s="1" t="s">
        <v>36</v>
      </c>
      <c r="D18" s="1" t="s">
        <v>27</v>
      </c>
      <c r="E18" s="1" t="s">
        <v>34</v>
      </c>
      <c r="F18" s="1" t="s">
        <v>24</v>
      </c>
      <c r="G18" s="1">
        <v>9</v>
      </c>
      <c r="H18" s="1">
        <v>55000</v>
      </c>
      <c r="I18" s="1">
        <v>15</v>
      </c>
      <c r="J18" s="1">
        <v>420750</v>
      </c>
      <c r="K18" s="1">
        <v>49712.41</v>
      </c>
      <c r="L18" s="1" t="str">
        <f>IF(K18&gt;=15000,"High Profit","Low Profit")</f>
        <v>High Profit</v>
      </c>
      <c r="M18" s="1">
        <f>YEAR(B18)</f>
        <v>2025</v>
      </c>
      <c r="N18" s="1" t="str">
        <f>TEXT(B18,"mmmm")</f>
        <v>July</v>
      </c>
      <c r="O18" s="1" t="str">
        <f>IF(J18&gt;=100000,"Excellent", IF(J18&gt;=50000,"Good","Average"))</f>
        <v>Excellent</v>
      </c>
      <c r="P18" s="1">
        <f>(H18*G18)*(I18/100)</f>
        <v>74250</v>
      </c>
      <c r="Q18" s="1">
        <f ca="1">J18-Q18</f>
        <v>0</v>
      </c>
    </row>
    <row r="19" spans="1:17" x14ac:dyDescent="0.25">
      <c r="A19" s="1">
        <v>1165</v>
      </c>
      <c r="B19" s="1" t="s">
        <v>85</v>
      </c>
      <c r="C19" s="1" t="s">
        <v>39</v>
      </c>
      <c r="D19" s="1" t="s">
        <v>27</v>
      </c>
      <c r="E19" s="1" t="s">
        <v>34</v>
      </c>
      <c r="F19" s="1" t="s">
        <v>24</v>
      </c>
      <c r="G19" s="1">
        <v>9</v>
      </c>
      <c r="H19" s="1">
        <v>55000</v>
      </c>
      <c r="I19" s="1">
        <v>15</v>
      </c>
      <c r="J19" s="1">
        <v>420750</v>
      </c>
      <c r="K19" s="1">
        <v>65768.83</v>
      </c>
      <c r="L19" s="1" t="str">
        <f>IF(K19&gt;=15000,"High Profit","Low Profit")</f>
        <v>High Profit</v>
      </c>
      <c r="M19" s="1">
        <f>YEAR(B19)</f>
        <v>2025</v>
      </c>
      <c r="N19" s="1" t="str">
        <f>TEXT(B19,"mmmm")</f>
        <v>June</v>
      </c>
      <c r="O19" s="1" t="str">
        <f>IF(J19&gt;=100000,"Excellent", IF(J19&gt;=50000,"Good","Average"))</f>
        <v>Excellent</v>
      </c>
      <c r="P19" s="1">
        <f>(H19*G19)*(I19/100)</f>
        <v>74250</v>
      </c>
      <c r="Q19" s="1">
        <f ca="1">J19-Q19</f>
        <v>0</v>
      </c>
    </row>
    <row r="20" spans="1:17" x14ac:dyDescent="0.25">
      <c r="A20" s="1">
        <v>1434</v>
      </c>
      <c r="B20" s="1" t="s">
        <v>323</v>
      </c>
      <c r="C20" s="1" t="s">
        <v>41</v>
      </c>
      <c r="D20" s="1" t="s">
        <v>27</v>
      </c>
      <c r="E20" s="1" t="s">
        <v>34</v>
      </c>
      <c r="F20" s="1" t="s">
        <v>24</v>
      </c>
      <c r="G20" s="1">
        <v>8</v>
      </c>
      <c r="H20" s="1">
        <v>55000</v>
      </c>
      <c r="I20" s="1">
        <v>5</v>
      </c>
      <c r="J20" s="1">
        <v>418000</v>
      </c>
      <c r="K20" s="1">
        <v>103024.78</v>
      </c>
      <c r="L20" s="1" t="str">
        <f>IF(K20&gt;=15000,"High Profit","Low Profit")</f>
        <v>High Profit</v>
      </c>
      <c r="M20" s="1">
        <f>YEAR(B20)</f>
        <v>2025</v>
      </c>
      <c r="N20" s="1" t="str">
        <f>TEXT(B20,"mmmm")</f>
        <v>August</v>
      </c>
      <c r="O20" s="1" t="str">
        <f>IF(J20&gt;=100000,"Excellent", IF(J20&gt;=50000,"Good","Average"))</f>
        <v>Excellent</v>
      </c>
      <c r="P20" s="1">
        <f>(H20*G20)*(I20/100)</f>
        <v>22000</v>
      </c>
      <c r="Q20" s="1">
        <f ca="1">J20-Q20</f>
        <v>0</v>
      </c>
    </row>
    <row r="21" spans="1:17" x14ac:dyDescent="0.25">
      <c r="A21" s="1">
        <v>1489</v>
      </c>
      <c r="B21" s="1" t="s">
        <v>54</v>
      </c>
      <c r="C21" s="1" t="s">
        <v>36</v>
      </c>
      <c r="D21" s="1" t="s">
        <v>27</v>
      </c>
      <c r="E21" s="1" t="s">
        <v>34</v>
      </c>
      <c r="F21" s="1" t="s">
        <v>24</v>
      </c>
      <c r="G21" s="1">
        <v>9</v>
      </c>
      <c r="H21" s="1">
        <v>55000</v>
      </c>
      <c r="I21" s="1">
        <v>20</v>
      </c>
      <c r="J21" s="1">
        <v>396000</v>
      </c>
      <c r="K21" s="1">
        <v>41551.440000000002</v>
      </c>
      <c r="L21" s="1" t="str">
        <f>IF(K21&gt;=15000,"High Profit","Low Profit")</f>
        <v>High Profit</v>
      </c>
      <c r="M21" s="1">
        <f>YEAR(B21)</f>
        <v>2025</v>
      </c>
      <c r="N21" s="1" t="str">
        <f>TEXT(B21,"mmmm")</f>
        <v>April</v>
      </c>
      <c r="O21" s="1" t="str">
        <f>IF(J21&gt;=100000,"Excellent", IF(J21&gt;=50000,"Good","Average"))</f>
        <v>Excellent</v>
      </c>
      <c r="P21" s="1">
        <f>(H21*G21)*(I21/100)</f>
        <v>99000</v>
      </c>
      <c r="Q21" s="1">
        <f ca="1">J21-Q21</f>
        <v>0</v>
      </c>
    </row>
    <row r="22" spans="1:17" x14ac:dyDescent="0.25">
      <c r="A22" s="1">
        <v>1056</v>
      </c>
      <c r="B22" s="1" t="s">
        <v>82</v>
      </c>
      <c r="C22" s="1" t="s">
        <v>21</v>
      </c>
      <c r="D22" s="1" t="s">
        <v>13</v>
      </c>
      <c r="E22" s="1" t="s">
        <v>34</v>
      </c>
      <c r="F22" s="1" t="s">
        <v>24</v>
      </c>
      <c r="G22" s="1">
        <v>7</v>
      </c>
      <c r="H22" s="1">
        <v>55000</v>
      </c>
      <c r="I22" s="1">
        <v>0</v>
      </c>
      <c r="J22" s="1">
        <v>385000</v>
      </c>
      <c r="K22" s="1">
        <v>49188.42</v>
      </c>
      <c r="L22" s="1" t="str">
        <f>IF(K22&gt;=15000,"High Profit","Low Profit")</f>
        <v>High Profit</v>
      </c>
      <c r="M22" s="1">
        <f>YEAR(B22)</f>
        <v>2026</v>
      </c>
      <c r="N22" s="1" t="str">
        <f>TEXT(B22,"mmmm")</f>
        <v>February</v>
      </c>
      <c r="O22" s="1" t="str">
        <f>IF(J22&gt;=100000,"Excellent", IF(J22&gt;=50000,"Good","Average"))</f>
        <v>Excellent</v>
      </c>
      <c r="P22" s="1">
        <f>(H22*G22)*(I22/100)</f>
        <v>0</v>
      </c>
      <c r="Q22" s="1">
        <f ca="1">J22-Q22</f>
        <v>0</v>
      </c>
    </row>
    <row r="23" spans="1:17" x14ac:dyDescent="0.25">
      <c r="A23" s="1">
        <v>1350</v>
      </c>
      <c r="B23" s="1" t="s">
        <v>285</v>
      </c>
      <c r="C23" s="1" t="s">
        <v>47</v>
      </c>
      <c r="D23" s="1" t="s">
        <v>27</v>
      </c>
      <c r="E23" s="1" t="s">
        <v>34</v>
      </c>
      <c r="F23" s="1" t="s">
        <v>24</v>
      </c>
      <c r="G23" s="1">
        <v>7</v>
      </c>
      <c r="H23" s="1">
        <v>55000</v>
      </c>
      <c r="I23" s="1">
        <v>0</v>
      </c>
      <c r="J23" s="1">
        <v>385000</v>
      </c>
      <c r="K23" s="1">
        <v>72383.820000000007</v>
      </c>
      <c r="L23" s="1" t="str">
        <f>IF(K23&gt;=15000,"High Profit","Low Profit")</f>
        <v>High Profit</v>
      </c>
      <c r="M23" s="1">
        <f>YEAR(B23)</f>
        <v>2026</v>
      </c>
      <c r="N23" s="1" t="str">
        <f>TEXT(B23,"mmmm")</f>
        <v>May</v>
      </c>
      <c r="O23" s="1" t="str">
        <f>IF(J23&gt;=100000,"Excellent", IF(J23&gt;=50000,"Good","Average"))</f>
        <v>Excellent</v>
      </c>
      <c r="P23" s="1">
        <f>(H23*G23)*(I23/100)</f>
        <v>0</v>
      </c>
      <c r="Q23" s="1">
        <f ca="1">J23-Q23</f>
        <v>0</v>
      </c>
    </row>
    <row r="24" spans="1:17" x14ac:dyDescent="0.25">
      <c r="A24" s="1">
        <v>1158</v>
      </c>
      <c r="B24" s="1" t="s">
        <v>169</v>
      </c>
      <c r="C24" s="1" t="s">
        <v>47</v>
      </c>
      <c r="D24" s="1" t="s">
        <v>27</v>
      </c>
      <c r="E24" s="1" t="s">
        <v>34</v>
      </c>
      <c r="F24" s="1" t="s">
        <v>24</v>
      </c>
      <c r="G24" s="1">
        <v>8</v>
      </c>
      <c r="H24" s="1">
        <v>55000</v>
      </c>
      <c r="I24" s="1">
        <v>15</v>
      </c>
      <c r="J24" s="1">
        <v>374000</v>
      </c>
      <c r="K24" s="1">
        <v>32002.799999999999</v>
      </c>
      <c r="L24" s="1" t="str">
        <f>IF(K24&gt;=15000,"High Profit","Low Profit")</f>
        <v>High Profit</v>
      </c>
      <c r="M24" s="1">
        <f>YEAR(B24)</f>
        <v>2026</v>
      </c>
      <c r="N24" s="1" t="str">
        <f>TEXT(B24,"mmmm")</f>
        <v>January</v>
      </c>
      <c r="O24" s="1" t="str">
        <f>IF(J24&gt;=100000,"Excellent", IF(J24&gt;=50000,"Good","Average"))</f>
        <v>Excellent</v>
      </c>
      <c r="P24" s="1">
        <f>(H24*G24)*(I24/100)</f>
        <v>66000</v>
      </c>
      <c r="Q24" s="1">
        <f ca="1">J24-Q24</f>
        <v>0</v>
      </c>
    </row>
    <row r="25" spans="1:17" x14ac:dyDescent="0.25">
      <c r="A25" s="1">
        <v>1178</v>
      </c>
      <c r="B25" s="1" t="s">
        <v>183</v>
      </c>
      <c r="C25" s="1" t="s">
        <v>45</v>
      </c>
      <c r="D25" s="1" t="s">
        <v>27</v>
      </c>
      <c r="E25" s="1" t="s">
        <v>34</v>
      </c>
      <c r="F25" s="1" t="s">
        <v>24</v>
      </c>
      <c r="G25" s="1">
        <v>7</v>
      </c>
      <c r="H25" s="1">
        <v>55000</v>
      </c>
      <c r="I25" s="1">
        <v>5</v>
      </c>
      <c r="J25" s="1">
        <v>365750</v>
      </c>
      <c r="K25" s="1">
        <v>43026.83</v>
      </c>
      <c r="L25" s="1" t="str">
        <f>IF(K25&gt;=15000,"High Profit","Low Profit")</f>
        <v>High Profit</v>
      </c>
      <c r="M25" s="1">
        <f>YEAR(B25)</f>
        <v>2026</v>
      </c>
      <c r="N25" s="1" t="str">
        <f>TEXT(B25,"mmmm")</f>
        <v>March</v>
      </c>
      <c r="O25" s="1" t="str">
        <f>IF(J25&gt;=100000,"Excellent", IF(J25&gt;=50000,"Good","Average"))</f>
        <v>Excellent</v>
      </c>
      <c r="P25" s="1">
        <f>(H25*G25)*(I25/100)</f>
        <v>19250</v>
      </c>
      <c r="Q25" s="1">
        <f ca="1">J25-Q25</f>
        <v>0</v>
      </c>
    </row>
    <row r="26" spans="1:17" x14ac:dyDescent="0.25">
      <c r="A26" s="1">
        <v>1017</v>
      </c>
      <c r="B26" s="1" t="s">
        <v>48</v>
      </c>
      <c r="C26" s="1" t="s">
        <v>30</v>
      </c>
      <c r="D26" s="1" t="s">
        <v>22</v>
      </c>
      <c r="E26" s="1" t="s">
        <v>34</v>
      </c>
      <c r="F26" s="1" t="s">
        <v>24</v>
      </c>
      <c r="G26" s="1">
        <v>8</v>
      </c>
      <c r="H26" s="1">
        <v>55000</v>
      </c>
      <c r="I26" s="1">
        <v>20</v>
      </c>
      <c r="J26" s="1">
        <v>352000</v>
      </c>
      <c r="K26" s="1">
        <v>31797.26</v>
      </c>
      <c r="L26" s="1" t="str">
        <f>IF(K26&gt;=15000,"High Profit","Low Profit")</f>
        <v>High Profit</v>
      </c>
      <c r="M26" s="1">
        <f>YEAR(B26)</f>
        <v>2025</v>
      </c>
      <c r="N26" s="1" t="str">
        <f>TEXT(B26,"mmmm")</f>
        <v>February</v>
      </c>
      <c r="O26" s="1" t="str">
        <f>IF(J26&gt;=100000,"Excellent", IF(J26&gt;=50000,"Good","Average"))</f>
        <v>Excellent</v>
      </c>
      <c r="P26" s="1">
        <f>(H26*G26)*(I26/100)</f>
        <v>88000</v>
      </c>
      <c r="Q26" s="1">
        <f ca="1">J26-Q26</f>
        <v>0</v>
      </c>
    </row>
    <row r="27" spans="1:17" x14ac:dyDescent="0.25">
      <c r="A27" s="1">
        <v>1115</v>
      </c>
      <c r="B27" s="1" t="s">
        <v>138</v>
      </c>
      <c r="C27" s="1" t="s">
        <v>36</v>
      </c>
      <c r="D27" s="1" t="s">
        <v>17</v>
      </c>
      <c r="E27" s="1" t="s">
        <v>34</v>
      </c>
      <c r="F27" s="1" t="s">
        <v>24</v>
      </c>
      <c r="G27" s="1">
        <v>8</v>
      </c>
      <c r="H27" s="1">
        <v>55000</v>
      </c>
      <c r="I27" s="1">
        <v>20</v>
      </c>
      <c r="J27" s="1">
        <v>352000</v>
      </c>
      <c r="K27" s="1">
        <v>32505.25</v>
      </c>
      <c r="L27" s="1" t="str">
        <f>IF(K27&gt;=15000,"High Profit","Low Profit")</f>
        <v>High Profit</v>
      </c>
      <c r="M27" s="1">
        <f>YEAR(B27)</f>
        <v>2026</v>
      </c>
      <c r="N27" s="1" t="str">
        <f>TEXT(B27,"mmmm")</f>
        <v>February</v>
      </c>
      <c r="O27" s="1" t="str">
        <f>IF(J27&gt;=100000,"Excellent", IF(J27&gt;=50000,"Good","Average"))</f>
        <v>Excellent</v>
      </c>
      <c r="P27" s="1">
        <f>(H27*G27)*(I27/100)</f>
        <v>88000</v>
      </c>
      <c r="Q27" s="1">
        <f ca="1">J27-Q27</f>
        <v>0</v>
      </c>
    </row>
    <row r="28" spans="1:17" x14ac:dyDescent="0.25">
      <c r="A28" s="1">
        <v>1139</v>
      </c>
      <c r="B28" s="1" t="s">
        <v>77</v>
      </c>
      <c r="C28" s="1" t="s">
        <v>36</v>
      </c>
      <c r="D28" s="1" t="s">
        <v>22</v>
      </c>
      <c r="E28" s="1" t="s">
        <v>34</v>
      </c>
      <c r="F28" s="1" t="s">
        <v>24</v>
      </c>
      <c r="G28" s="1">
        <v>8</v>
      </c>
      <c r="H28" s="1">
        <v>55000</v>
      </c>
      <c r="I28" s="1">
        <v>20</v>
      </c>
      <c r="J28" s="1">
        <v>352000</v>
      </c>
      <c r="K28" s="1">
        <v>64133</v>
      </c>
      <c r="L28" s="1" t="str">
        <f>IF(K28&gt;=15000,"High Profit","Low Profit")</f>
        <v>High Profit</v>
      </c>
      <c r="M28" s="1">
        <f>YEAR(B28)</f>
        <v>2025</v>
      </c>
      <c r="N28" s="1" t="str">
        <f>TEXT(B28,"mmmm")</f>
        <v>June</v>
      </c>
      <c r="O28" s="1" t="str">
        <f>IF(J28&gt;=100000,"Excellent", IF(J28&gt;=50000,"Good","Average"))</f>
        <v>Excellent</v>
      </c>
      <c r="P28" s="1">
        <f>(H28*G28)*(I28/100)</f>
        <v>88000</v>
      </c>
      <c r="Q28" s="1">
        <f ca="1">J28-Q28</f>
        <v>0</v>
      </c>
    </row>
    <row r="29" spans="1:17" x14ac:dyDescent="0.25">
      <c r="A29" s="1">
        <v>1419</v>
      </c>
      <c r="B29" s="1" t="s">
        <v>318</v>
      </c>
      <c r="C29" s="1" t="s">
        <v>36</v>
      </c>
      <c r="D29" s="1" t="s">
        <v>17</v>
      </c>
      <c r="E29" s="1" t="s">
        <v>34</v>
      </c>
      <c r="F29" s="1" t="s">
        <v>24</v>
      </c>
      <c r="G29" s="1">
        <v>7</v>
      </c>
      <c r="H29" s="1">
        <v>55000</v>
      </c>
      <c r="I29" s="1">
        <v>10</v>
      </c>
      <c r="J29" s="1">
        <v>346500</v>
      </c>
      <c r="K29" s="1">
        <v>38351.14</v>
      </c>
      <c r="L29" s="1" t="str">
        <f>IF(K29&gt;=15000,"High Profit","Low Profit")</f>
        <v>High Profit</v>
      </c>
      <c r="M29" s="1">
        <f>YEAR(B29)</f>
        <v>2025</v>
      </c>
      <c r="N29" s="1" t="str">
        <f>TEXT(B29,"mmmm")</f>
        <v>November</v>
      </c>
      <c r="O29" s="1" t="str">
        <f>IF(J29&gt;=100000,"Excellent", IF(J29&gt;=50000,"Good","Average"))</f>
        <v>Excellent</v>
      </c>
      <c r="P29" s="1">
        <f>(H29*G29)*(I29/100)</f>
        <v>38500</v>
      </c>
      <c r="Q29" s="1">
        <f ca="1">J29-Q29</f>
        <v>0</v>
      </c>
    </row>
    <row r="30" spans="1:17" x14ac:dyDescent="0.25">
      <c r="A30" s="1">
        <v>1246</v>
      </c>
      <c r="B30" s="1" t="s">
        <v>230</v>
      </c>
      <c r="C30" s="1" t="s">
        <v>45</v>
      </c>
      <c r="D30" s="1" t="s">
        <v>13</v>
      </c>
      <c r="E30" s="1" t="s">
        <v>34</v>
      </c>
      <c r="F30" s="1" t="s">
        <v>24</v>
      </c>
      <c r="G30" s="1">
        <v>6</v>
      </c>
      <c r="H30" s="1">
        <v>55000</v>
      </c>
      <c r="I30" s="1">
        <v>0</v>
      </c>
      <c r="J30" s="1">
        <v>330000</v>
      </c>
      <c r="K30" s="1">
        <v>37654.699999999997</v>
      </c>
      <c r="L30" s="1" t="str">
        <f>IF(K30&gt;=15000,"High Profit","Low Profit")</f>
        <v>High Profit</v>
      </c>
      <c r="M30" s="1">
        <f>YEAR(B30)</f>
        <v>2025</v>
      </c>
      <c r="N30" s="1" t="str">
        <f>TEXT(B30,"mmmm")</f>
        <v>April</v>
      </c>
      <c r="O30" s="1" t="str">
        <f>IF(J30&gt;=100000,"Excellent", IF(J30&gt;=50000,"Good","Average"))</f>
        <v>Excellent</v>
      </c>
      <c r="P30" s="1">
        <f>(H30*G30)*(I30/100)</f>
        <v>0</v>
      </c>
      <c r="Q30" s="1">
        <f ca="1">J30-Q30</f>
        <v>0</v>
      </c>
    </row>
    <row r="31" spans="1:17" x14ac:dyDescent="0.25">
      <c r="A31" s="1">
        <v>1024</v>
      </c>
      <c r="B31" s="1" t="s">
        <v>55</v>
      </c>
      <c r="C31" s="1" t="s">
        <v>21</v>
      </c>
      <c r="D31" s="1" t="s">
        <v>17</v>
      </c>
      <c r="E31" s="1" t="s">
        <v>34</v>
      </c>
      <c r="F31" s="1" t="s">
        <v>24</v>
      </c>
      <c r="G31" s="1">
        <v>7</v>
      </c>
      <c r="H31" s="1">
        <v>55000</v>
      </c>
      <c r="I31" s="1">
        <v>15</v>
      </c>
      <c r="J31" s="1">
        <v>327250</v>
      </c>
      <c r="K31" s="1">
        <v>75901.240000000005</v>
      </c>
      <c r="L31" s="1" t="str">
        <f>IF(K31&gt;=15000,"High Profit","Low Profit")</f>
        <v>High Profit</v>
      </c>
      <c r="M31" s="1">
        <f>YEAR(B31)</f>
        <v>2025</v>
      </c>
      <c r="N31" s="1" t="str">
        <f>TEXT(B31,"mmmm")</f>
        <v>May</v>
      </c>
      <c r="O31" s="1" t="str">
        <f>IF(J31&gt;=100000,"Excellent", IF(J31&gt;=50000,"Good","Average"))</f>
        <v>Excellent</v>
      </c>
      <c r="P31" s="1">
        <f>(H31*G31)*(I31/100)</f>
        <v>57750</v>
      </c>
      <c r="Q31" s="1">
        <f ca="1">J31-Q31</f>
        <v>0</v>
      </c>
    </row>
    <row r="32" spans="1:17" x14ac:dyDescent="0.25">
      <c r="A32" s="1">
        <v>1381</v>
      </c>
      <c r="B32" s="1" t="s">
        <v>204</v>
      </c>
      <c r="C32" s="1" t="s">
        <v>39</v>
      </c>
      <c r="D32" s="1" t="s">
        <v>13</v>
      </c>
      <c r="E32" s="1" t="s">
        <v>34</v>
      </c>
      <c r="F32" s="1" t="s">
        <v>24</v>
      </c>
      <c r="G32" s="1">
        <v>7</v>
      </c>
      <c r="H32" s="1">
        <v>55000</v>
      </c>
      <c r="I32" s="1">
        <v>20</v>
      </c>
      <c r="J32" s="1">
        <v>308000</v>
      </c>
      <c r="K32" s="1">
        <v>60669.760000000002</v>
      </c>
      <c r="L32" s="1" t="str">
        <f>IF(K32&gt;=15000,"High Profit","Low Profit")</f>
        <v>High Profit</v>
      </c>
      <c r="M32" s="1">
        <f>YEAR(B32)</f>
        <v>2026</v>
      </c>
      <c r="N32" s="1" t="str">
        <f>TEXT(B32,"mmmm")</f>
        <v>February</v>
      </c>
      <c r="O32" s="1" t="str">
        <f>IF(J32&gt;=100000,"Excellent", IF(J32&gt;=50000,"Good","Average"))</f>
        <v>Excellent</v>
      </c>
      <c r="P32" s="1">
        <f>(H32*G32)*(I32/100)</f>
        <v>77000</v>
      </c>
      <c r="Q32" s="1">
        <f ca="1">J32-Q32</f>
        <v>0</v>
      </c>
    </row>
    <row r="33" spans="1:17" x14ac:dyDescent="0.25">
      <c r="A33" s="1">
        <v>1356</v>
      </c>
      <c r="B33" s="1" t="s">
        <v>288</v>
      </c>
      <c r="C33" s="1" t="s">
        <v>41</v>
      </c>
      <c r="D33" s="1" t="s">
        <v>13</v>
      </c>
      <c r="E33" s="1" t="s">
        <v>34</v>
      </c>
      <c r="F33" s="1" t="s">
        <v>24</v>
      </c>
      <c r="G33" s="1">
        <v>6</v>
      </c>
      <c r="H33" s="1">
        <v>55000</v>
      </c>
      <c r="I33" s="1">
        <v>10</v>
      </c>
      <c r="J33" s="1">
        <v>297000</v>
      </c>
      <c r="K33" s="1">
        <v>61261.45</v>
      </c>
      <c r="L33" s="1" t="str">
        <f>IF(K33&gt;=15000,"High Profit","Low Profit")</f>
        <v>High Profit</v>
      </c>
      <c r="M33" s="1">
        <f>YEAR(B33)</f>
        <v>2025</v>
      </c>
      <c r="N33" s="1" t="str">
        <f>TEXT(B33,"mmmm")</f>
        <v>July</v>
      </c>
      <c r="O33" s="1" t="str">
        <f>IF(J33&gt;=100000,"Excellent", IF(J33&gt;=50000,"Good","Average"))</f>
        <v>Excellent</v>
      </c>
      <c r="P33" s="1">
        <f>(H33*G33)*(I33/100)</f>
        <v>33000</v>
      </c>
      <c r="Q33" s="1">
        <f ca="1">J33-Q33</f>
        <v>0</v>
      </c>
    </row>
    <row r="34" spans="1:17" x14ac:dyDescent="0.25">
      <c r="A34" s="1">
        <v>1497</v>
      </c>
      <c r="B34" s="1" t="s">
        <v>345</v>
      </c>
      <c r="C34" s="1" t="s">
        <v>47</v>
      </c>
      <c r="D34" s="1" t="s">
        <v>27</v>
      </c>
      <c r="E34" s="1" t="s">
        <v>34</v>
      </c>
      <c r="F34" s="1" t="s">
        <v>24</v>
      </c>
      <c r="G34" s="1">
        <v>6</v>
      </c>
      <c r="H34" s="1">
        <v>55000</v>
      </c>
      <c r="I34" s="1">
        <v>10</v>
      </c>
      <c r="J34" s="1">
        <v>297000</v>
      </c>
      <c r="K34" s="1">
        <v>72594.11</v>
      </c>
      <c r="L34" s="1" t="str">
        <f>IF(K34&gt;=15000,"High Profit","Low Profit")</f>
        <v>High Profit</v>
      </c>
      <c r="M34" s="1">
        <f>YEAR(B34)</f>
        <v>2025</v>
      </c>
      <c r="N34" s="1" t="str">
        <f>TEXT(B34,"mmmm")</f>
        <v>August</v>
      </c>
      <c r="O34" s="1" t="str">
        <f>IF(J34&gt;=100000,"Excellent", IF(J34&gt;=50000,"Good","Average"))</f>
        <v>Excellent</v>
      </c>
      <c r="P34" s="1">
        <f>(H34*G34)*(I34/100)</f>
        <v>33000</v>
      </c>
      <c r="Q34" s="1">
        <f ca="1">J34-Q34</f>
        <v>0</v>
      </c>
    </row>
    <row r="35" spans="1:17" x14ac:dyDescent="0.25">
      <c r="A35" s="1">
        <v>1142</v>
      </c>
      <c r="B35" s="1" t="s">
        <v>158</v>
      </c>
      <c r="C35" s="1" t="s">
        <v>47</v>
      </c>
      <c r="D35" s="1" t="s">
        <v>22</v>
      </c>
      <c r="E35" s="1" t="s">
        <v>34</v>
      </c>
      <c r="F35" s="1" t="s">
        <v>24</v>
      </c>
      <c r="G35" s="1">
        <v>6</v>
      </c>
      <c r="H35" s="1">
        <v>55000</v>
      </c>
      <c r="I35" s="1">
        <v>15</v>
      </c>
      <c r="J35" s="1">
        <v>280500</v>
      </c>
      <c r="K35" s="1">
        <v>65095.09</v>
      </c>
      <c r="L35" s="1" t="str">
        <f>IF(K35&gt;=15000,"High Profit","Low Profit")</f>
        <v>High Profit</v>
      </c>
      <c r="M35" s="1">
        <f>YEAR(B35)</f>
        <v>2026</v>
      </c>
      <c r="N35" s="1" t="str">
        <f>TEXT(B35,"mmmm")</f>
        <v>February</v>
      </c>
      <c r="O35" s="1" t="str">
        <f>IF(J35&gt;=100000,"Excellent", IF(J35&gt;=50000,"Good","Average"))</f>
        <v>Excellent</v>
      </c>
      <c r="P35" s="1">
        <f>(H35*G35)*(I35/100)</f>
        <v>49500</v>
      </c>
      <c r="Q35" s="1">
        <f ca="1">J35-Q35</f>
        <v>0</v>
      </c>
    </row>
    <row r="36" spans="1:17" x14ac:dyDescent="0.25">
      <c r="A36" s="1">
        <v>1469</v>
      </c>
      <c r="B36" s="1" t="s">
        <v>297</v>
      </c>
      <c r="C36" s="1" t="s">
        <v>36</v>
      </c>
      <c r="D36" s="1" t="s">
        <v>13</v>
      </c>
      <c r="E36" s="1" t="s">
        <v>34</v>
      </c>
      <c r="F36" s="1" t="s">
        <v>24</v>
      </c>
      <c r="G36" s="1">
        <v>6</v>
      </c>
      <c r="H36" s="1">
        <v>55000</v>
      </c>
      <c r="I36" s="1">
        <v>15</v>
      </c>
      <c r="J36" s="1">
        <v>280500</v>
      </c>
      <c r="K36" s="1">
        <v>59933.59</v>
      </c>
      <c r="L36" s="1" t="str">
        <f>IF(K36&gt;=15000,"High Profit","Low Profit")</f>
        <v>High Profit</v>
      </c>
      <c r="M36" s="1">
        <f>YEAR(B36)</f>
        <v>2026</v>
      </c>
      <c r="N36" s="1" t="str">
        <f>TEXT(B36,"mmmm")</f>
        <v>March</v>
      </c>
      <c r="O36" s="1" t="str">
        <f>IF(J36&gt;=100000,"Excellent", IF(J36&gt;=50000,"Good","Average"))</f>
        <v>Excellent</v>
      </c>
      <c r="P36" s="1">
        <f>(H36*G36)*(I36/100)</f>
        <v>49500</v>
      </c>
      <c r="Q36" s="1">
        <f ca="1">J36-Q36</f>
        <v>0</v>
      </c>
    </row>
    <row r="37" spans="1:17" x14ac:dyDescent="0.25">
      <c r="A37" s="1">
        <v>1353</v>
      </c>
      <c r="B37" s="1" t="s">
        <v>85</v>
      </c>
      <c r="C37" s="1" t="s">
        <v>21</v>
      </c>
      <c r="D37" s="1" t="s">
        <v>22</v>
      </c>
      <c r="E37" s="1" t="s">
        <v>34</v>
      </c>
      <c r="F37" s="1" t="s">
        <v>24</v>
      </c>
      <c r="G37" s="1">
        <v>5</v>
      </c>
      <c r="H37" s="1">
        <v>55000</v>
      </c>
      <c r="I37" s="1">
        <v>0</v>
      </c>
      <c r="J37" s="1">
        <v>275000</v>
      </c>
      <c r="K37" s="1">
        <v>50895.29</v>
      </c>
      <c r="L37" s="1" t="str">
        <f>IF(K37&gt;=15000,"High Profit","Low Profit")</f>
        <v>High Profit</v>
      </c>
      <c r="M37" s="1">
        <f>YEAR(B37)</f>
        <v>2025</v>
      </c>
      <c r="N37" s="1" t="str">
        <f>TEXT(B37,"mmmm")</f>
        <v>June</v>
      </c>
      <c r="O37" s="1" t="str">
        <f>IF(J37&gt;=100000,"Excellent", IF(J37&gt;=50000,"Good","Average"))</f>
        <v>Excellent</v>
      </c>
      <c r="P37" s="1">
        <f>(H37*G37)*(I37/100)</f>
        <v>0</v>
      </c>
      <c r="Q37" s="1">
        <f ca="1">J37-Q37</f>
        <v>0</v>
      </c>
    </row>
    <row r="38" spans="1:17" x14ac:dyDescent="0.25">
      <c r="A38" s="1">
        <v>1119</v>
      </c>
      <c r="B38" s="1" t="s">
        <v>142</v>
      </c>
      <c r="C38" s="1" t="s">
        <v>12</v>
      </c>
      <c r="D38" s="1" t="s">
        <v>13</v>
      </c>
      <c r="E38" s="1" t="s">
        <v>34</v>
      </c>
      <c r="F38" s="1" t="s">
        <v>24</v>
      </c>
      <c r="G38" s="1">
        <v>6</v>
      </c>
      <c r="H38" s="1">
        <v>55000</v>
      </c>
      <c r="I38" s="1">
        <v>20</v>
      </c>
      <c r="J38" s="1">
        <v>264000</v>
      </c>
      <c r="K38" s="1">
        <v>24975.21</v>
      </c>
      <c r="L38" s="1" t="str">
        <f>IF(K38&gt;=15000,"High Profit","Low Profit")</f>
        <v>High Profit</v>
      </c>
      <c r="M38" s="1">
        <f>YEAR(B38)</f>
        <v>2025</v>
      </c>
      <c r="N38" s="1" t="str">
        <f>TEXT(B38,"mmmm")</f>
        <v>May</v>
      </c>
      <c r="O38" s="1" t="str">
        <f>IF(J38&gt;=100000,"Excellent", IF(J38&gt;=50000,"Good","Average"))</f>
        <v>Excellent</v>
      </c>
      <c r="P38" s="1">
        <f>(H38*G38)*(I38/100)</f>
        <v>66000</v>
      </c>
      <c r="Q38" s="1">
        <f ca="1">J38-Q38</f>
        <v>0</v>
      </c>
    </row>
    <row r="39" spans="1:17" x14ac:dyDescent="0.25">
      <c r="A39" s="1">
        <v>1222</v>
      </c>
      <c r="B39" s="1" t="s">
        <v>213</v>
      </c>
      <c r="C39" s="1" t="s">
        <v>47</v>
      </c>
      <c r="D39" s="1" t="s">
        <v>17</v>
      </c>
      <c r="E39" s="1" t="s">
        <v>34</v>
      </c>
      <c r="F39" s="1" t="s">
        <v>24</v>
      </c>
      <c r="G39" s="1">
        <v>6</v>
      </c>
      <c r="H39" s="1">
        <v>55000</v>
      </c>
      <c r="I39" s="1">
        <v>20</v>
      </c>
      <c r="J39" s="1">
        <v>264000</v>
      </c>
      <c r="K39" s="1">
        <v>44262.25</v>
      </c>
      <c r="L39" s="1" t="str">
        <f>IF(K39&gt;=15000,"High Profit","Low Profit")</f>
        <v>High Profit</v>
      </c>
      <c r="M39" s="1">
        <f>YEAR(B39)</f>
        <v>2025</v>
      </c>
      <c r="N39" s="1" t="str">
        <f>TEXT(B39,"mmmm")</f>
        <v>August</v>
      </c>
      <c r="O39" s="1" t="str">
        <f>IF(J39&gt;=100000,"Excellent", IF(J39&gt;=50000,"Good","Average"))</f>
        <v>Excellent</v>
      </c>
      <c r="P39" s="1">
        <f>(H39*G39)*(I39/100)</f>
        <v>66000</v>
      </c>
      <c r="Q39" s="1">
        <f ca="1">J39-Q39</f>
        <v>0</v>
      </c>
    </row>
    <row r="40" spans="1:17" x14ac:dyDescent="0.25">
      <c r="A40" s="1">
        <v>1466</v>
      </c>
      <c r="B40" s="1" t="s">
        <v>264</v>
      </c>
      <c r="C40" s="1" t="s">
        <v>47</v>
      </c>
      <c r="D40" s="1" t="s">
        <v>13</v>
      </c>
      <c r="E40" s="1" t="s">
        <v>34</v>
      </c>
      <c r="F40" s="1" t="s">
        <v>24</v>
      </c>
      <c r="G40" s="1">
        <v>6</v>
      </c>
      <c r="H40" s="1">
        <v>55000</v>
      </c>
      <c r="I40" s="1">
        <v>20</v>
      </c>
      <c r="J40" s="1">
        <v>264000</v>
      </c>
      <c r="K40" s="1">
        <v>43383.11</v>
      </c>
      <c r="L40" s="1" t="str">
        <f>IF(K40&gt;=15000,"High Profit","Low Profit")</f>
        <v>High Profit</v>
      </c>
      <c r="M40" s="1">
        <f>YEAR(B40)</f>
        <v>2025</v>
      </c>
      <c r="N40" s="1" t="str">
        <f>TEXT(B40,"mmmm")</f>
        <v>December</v>
      </c>
      <c r="O40" s="1" t="str">
        <f>IF(J40&gt;=100000,"Excellent", IF(J40&gt;=50000,"Good","Average"))</f>
        <v>Excellent</v>
      </c>
      <c r="P40" s="1">
        <f>(H40*G40)*(I40/100)</f>
        <v>66000</v>
      </c>
      <c r="Q40" s="1">
        <f ca="1">J40-Q40</f>
        <v>0</v>
      </c>
    </row>
    <row r="41" spans="1:17" x14ac:dyDescent="0.25">
      <c r="A41" s="1">
        <v>1235</v>
      </c>
      <c r="B41" s="1" t="s">
        <v>222</v>
      </c>
      <c r="C41" s="1" t="s">
        <v>30</v>
      </c>
      <c r="D41" s="1" t="s">
        <v>17</v>
      </c>
      <c r="E41" s="1" t="s">
        <v>34</v>
      </c>
      <c r="F41" s="1" t="s">
        <v>24</v>
      </c>
      <c r="G41" s="1">
        <v>5</v>
      </c>
      <c r="H41" s="1">
        <v>55000</v>
      </c>
      <c r="I41" s="1">
        <v>5</v>
      </c>
      <c r="J41" s="1">
        <v>261250</v>
      </c>
      <c r="K41" s="1">
        <v>22426.13</v>
      </c>
      <c r="L41" s="1" t="str">
        <f>IF(K41&gt;=15000,"High Profit","Low Profit")</f>
        <v>High Profit</v>
      </c>
      <c r="M41" s="1">
        <f>YEAR(B41)</f>
        <v>2025</v>
      </c>
      <c r="N41" s="1" t="str">
        <f>TEXT(B41,"mmmm")</f>
        <v>December</v>
      </c>
      <c r="O41" s="1" t="str">
        <f>IF(J41&gt;=100000,"Excellent", IF(J41&gt;=50000,"Good","Average"))</f>
        <v>Excellent</v>
      </c>
      <c r="P41" s="1">
        <f>(H41*G41)*(I41/100)</f>
        <v>13750</v>
      </c>
      <c r="Q41" s="1">
        <f ca="1">J41-Q41</f>
        <v>0</v>
      </c>
    </row>
    <row r="42" spans="1:17" x14ac:dyDescent="0.25">
      <c r="A42" s="1">
        <v>1233</v>
      </c>
      <c r="B42" s="1" t="s">
        <v>221</v>
      </c>
      <c r="C42" s="1" t="s">
        <v>12</v>
      </c>
      <c r="D42" s="1" t="s">
        <v>22</v>
      </c>
      <c r="E42" s="1" t="s">
        <v>34</v>
      </c>
      <c r="F42" s="1" t="s">
        <v>24</v>
      </c>
      <c r="G42" s="1">
        <v>5</v>
      </c>
      <c r="H42" s="1">
        <v>55000</v>
      </c>
      <c r="I42" s="1">
        <v>10</v>
      </c>
      <c r="J42" s="1">
        <v>247500</v>
      </c>
      <c r="K42" s="1">
        <v>48235.82</v>
      </c>
      <c r="L42" s="1" t="str">
        <f>IF(K42&gt;=15000,"High Profit","Low Profit")</f>
        <v>High Profit</v>
      </c>
      <c r="M42" s="1">
        <f>YEAR(B42)</f>
        <v>2025</v>
      </c>
      <c r="N42" s="1" t="str">
        <f>TEXT(B42,"mmmm")</f>
        <v>July</v>
      </c>
      <c r="O42" s="1" t="str">
        <f>IF(J42&gt;=100000,"Excellent", IF(J42&gt;=50000,"Good","Average"))</f>
        <v>Excellent</v>
      </c>
      <c r="P42" s="1">
        <f>(H42*G42)*(I42/100)</f>
        <v>27500</v>
      </c>
      <c r="Q42" s="1">
        <f ca="1">J42-Q42</f>
        <v>0</v>
      </c>
    </row>
    <row r="43" spans="1:17" x14ac:dyDescent="0.25">
      <c r="A43" s="1">
        <v>1313</v>
      </c>
      <c r="B43" s="1" t="s">
        <v>269</v>
      </c>
      <c r="C43" s="1" t="s">
        <v>30</v>
      </c>
      <c r="D43" s="1" t="s">
        <v>13</v>
      </c>
      <c r="E43" s="1" t="s">
        <v>34</v>
      </c>
      <c r="F43" s="1" t="s">
        <v>24</v>
      </c>
      <c r="G43" s="1">
        <v>5</v>
      </c>
      <c r="H43" s="1">
        <v>55000</v>
      </c>
      <c r="I43" s="1">
        <v>10</v>
      </c>
      <c r="J43" s="1">
        <v>247500</v>
      </c>
      <c r="K43" s="1">
        <v>20285.97</v>
      </c>
      <c r="L43" s="1" t="str">
        <f>IF(K43&gt;=15000,"High Profit","Low Profit")</f>
        <v>High Profit</v>
      </c>
      <c r="M43" s="1">
        <f>YEAR(B43)</f>
        <v>2025</v>
      </c>
      <c r="N43" s="1" t="str">
        <f>TEXT(B43,"mmmm")</f>
        <v>July</v>
      </c>
      <c r="O43" s="1" t="str">
        <f>IF(J43&gt;=100000,"Excellent", IF(J43&gt;=50000,"Good","Average"))</f>
        <v>Excellent</v>
      </c>
      <c r="P43" s="1">
        <f>(H43*G43)*(I43/100)</f>
        <v>27500</v>
      </c>
      <c r="Q43" s="1">
        <f ca="1">J43-Q43</f>
        <v>0</v>
      </c>
    </row>
    <row r="44" spans="1:17" x14ac:dyDescent="0.25">
      <c r="A44" s="1">
        <v>1445</v>
      </c>
      <c r="B44" s="1" t="s">
        <v>42</v>
      </c>
      <c r="C44" s="1" t="s">
        <v>26</v>
      </c>
      <c r="D44" s="1" t="s">
        <v>17</v>
      </c>
      <c r="E44" s="1" t="s">
        <v>34</v>
      </c>
      <c r="F44" s="1" t="s">
        <v>24</v>
      </c>
      <c r="G44" s="1">
        <v>5</v>
      </c>
      <c r="H44" s="1">
        <v>55000</v>
      </c>
      <c r="I44" s="1">
        <v>10</v>
      </c>
      <c r="J44" s="1">
        <v>247500</v>
      </c>
      <c r="K44" s="1">
        <v>33319.07</v>
      </c>
      <c r="L44" s="1" t="str">
        <f>IF(K44&gt;=15000,"High Profit","Low Profit")</f>
        <v>High Profit</v>
      </c>
      <c r="M44" s="1">
        <f>YEAR(B44)</f>
        <v>2026</v>
      </c>
      <c r="N44" s="1" t="str">
        <f>TEXT(B44,"mmmm")</f>
        <v>May</v>
      </c>
      <c r="O44" s="1" t="str">
        <f>IF(J44&gt;=100000,"Excellent", IF(J44&gt;=50000,"Good","Average"))</f>
        <v>Excellent</v>
      </c>
      <c r="P44" s="1">
        <f>(H44*G44)*(I44/100)</f>
        <v>27500</v>
      </c>
      <c r="Q44" s="1">
        <f ca="1">J44-Q44</f>
        <v>0</v>
      </c>
    </row>
    <row r="45" spans="1:17" x14ac:dyDescent="0.25">
      <c r="A45" s="1">
        <v>1257</v>
      </c>
      <c r="B45" s="1" t="s">
        <v>236</v>
      </c>
      <c r="C45" s="1" t="s">
        <v>21</v>
      </c>
      <c r="D45" s="1" t="s">
        <v>22</v>
      </c>
      <c r="E45" s="1" t="s">
        <v>34</v>
      </c>
      <c r="F45" s="1" t="s">
        <v>24</v>
      </c>
      <c r="G45" s="1">
        <v>5</v>
      </c>
      <c r="H45" s="1">
        <v>55000</v>
      </c>
      <c r="I45" s="1">
        <v>15</v>
      </c>
      <c r="J45" s="1">
        <v>233750</v>
      </c>
      <c r="K45" s="1">
        <v>55194.76</v>
      </c>
      <c r="L45" s="1" t="str">
        <f>IF(K45&gt;=15000,"High Profit","Low Profit")</f>
        <v>High Profit</v>
      </c>
      <c r="M45" s="1">
        <f>YEAR(B45)</f>
        <v>2026</v>
      </c>
      <c r="N45" s="1" t="str">
        <f>TEXT(B45,"mmmm")</f>
        <v>January</v>
      </c>
      <c r="O45" s="1" t="str">
        <f>IF(J45&gt;=100000,"Excellent", IF(J45&gt;=50000,"Good","Average"))</f>
        <v>Excellent</v>
      </c>
      <c r="P45" s="1">
        <f>(H45*G45)*(I45/100)</f>
        <v>41250</v>
      </c>
      <c r="Q45" s="1">
        <f ca="1">J45-Q45</f>
        <v>0</v>
      </c>
    </row>
    <row r="46" spans="1:17" x14ac:dyDescent="0.25">
      <c r="A46" s="1">
        <v>1271</v>
      </c>
      <c r="B46" s="1" t="s">
        <v>233</v>
      </c>
      <c r="C46" s="1" t="s">
        <v>26</v>
      </c>
      <c r="D46" s="1" t="s">
        <v>22</v>
      </c>
      <c r="E46" s="1" t="s">
        <v>34</v>
      </c>
      <c r="F46" s="1" t="s">
        <v>24</v>
      </c>
      <c r="G46" s="1">
        <v>5</v>
      </c>
      <c r="H46" s="1">
        <v>55000</v>
      </c>
      <c r="I46" s="1">
        <v>15</v>
      </c>
      <c r="J46" s="1">
        <v>233750</v>
      </c>
      <c r="K46" s="1">
        <v>24803.13</v>
      </c>
      <c r="L46" s="1" t="str">
        <f>IF(K46&gt;=15000,"High Profit","Low Profit")</f>
        <v>High Profit</v>
      </c>
      <c r="M46" s="1">
        <f>YEAR(B46)</f>
        <v>2025</v>
      </c>
      <c r="N46" s="1" t="str">
        <f>TEXT(B46,"mmmm")</f>
        <v>July</v>
      </c>
      <c r="O46" s="1" t="str">
        <f>IF(J46&gt;=100000,"Excellent", IF(J46&gt;=50000,"Good","Average"))</f>
        <v>Excellent</v>
      </c>
      <c r="P46" s="1">
        <f>(H46*G46)*(I46/100)</f>
        <v>41250</v>
      </c>
      <c r="Q46" s="1">
        <f ca="1">J46-Q46</f>
        <v>0</v>
      </c>
    </row>
    <row r="47" spans="1:17" x14ac:dyDescent="0.25">
      <c r="A47" s="1">
        <v>1032</v>
      </c>
      <c r="B47" s="1" t="s">
        <v>62</v>
      </c>
      <c r="C47" s="1" t="s">
        <v>45</v>
      </c>
      <c r="D47" s="1" t="s">
        <v>13</v>
      </c>
      <c r="E47" s="1" t="s">
        <v>34</v>
      </c>
      <c r="F47" s="1" t="s">
        <v>24</v>
      </c>
      <c r="G47" s="1">
        <v>4</v>
      </c>
      <c r="H47" s="1">
        <v>55000</v>
      </c>
      <c r="I47" s="1">
        <v>0</v>
      </c>
      <c r="J47" s="1">
        <v>220000</v>
      </c>
      <c r="K47" s="1">
        <v>38087.18</v>
      </c>
      <c r="L47" s="1" t="str">
        <f>IF(K47&gt;=15000,"High Profit","Low Profit")</f>
        <v>High Profit</v>
      </c>
      <c r="M47" s="1">
        <f>YEAR(B47)</f>
        <v>2025</v>
      </c>
      <c r="N47" s="1" t="str">
        <f>TEXT(B47,"mmmm")</f>
        <v>October</v>
      </c>
      <c r="O47" s="1" t="str">
        <f>IF(J47&gt;=100000,"Excellent", IF(J47&gt;=50000,"Good","Average"))</f>
        <v>Excellent</v>
      </c>
      <c r="P47" s="1">
        <f>(H47*G47)*(I47/100)</f>
        <v>0</v>
      </c>
      <c r="Q47" s="1">
        <f ca="1">J47-Q47</f>
        <v>0</v>
      </c>
    </row>
    <row r="48" spans="1:17" x14ac:dyDescent="0.25">
      <c r="A48" s="1">
        <v>1082</v>
      </c>
      <c r="B48" s="1" t="s">
        <v>106</v>
      </c>
      <c r="C48" s="1" t="s">
        <v>45</v>
      </c>
      <c r="D48" s="1" t="s">
        <v>27</v>
      </c>
      <c r="E48" s="1" t="s">
        <v>34</v>
      </c>
      <c r="F48" s="1" t="s">
        <v>24</v>
      </c>
      <c r="G48" s="1">
        <v>4</v>
      </c>
      <c r="H48" s="1">
        <v>55000</v>
      </c>
      <c r="I48" s="1">
        <v>0</v>
      </c>
      <c r="J48" s="1">
        <v>220000</v>
      </c>
      <c r="K48" s="1">
        <v>43286.11</v>
      </c>
      <c r="L48" s="1" t="str">
        <f>IF(K48&gt;=15000,"High Profit","Low Profit")</f>
        <v>High Profit</v>
      </c>
      <c r="M48" s="1">
        <f>YEAR(B48)</f>
        <v>2026</v>
      </c>
      <c r="N48" s="1" t="str">
        <f>TEXT(B48,"mmmm")</f>
        <v>May</v>
      </c>
      <c r="O48" s="1" t="str">
        <f>IF(J48&gt;=100000,"Excellent", IF(J48&gt;=50000,"Good","Average"))</f>
        <v>Excellent</v>
      </c>
      <c r="P48" s="1">
        <f>(H48*G48)*(I48/100)</f>
        <v>0</v>
      </c>
      <c r="Q48" s="1">
        <f ca="1">J48-Q48</f>
        <v>0</v>
      </c>
    </row>
    <row r="49" spans="1:17" x14ac:dyDescent="0.25">
      <c r="A49" s="1">
        <v>1096</v>
      </c>
      <c r="B49" s="1" t="s">
        <v>120</v>
      </c>
      <c r="C49" s="1" t="s">
        <v>47</v>
      </c>
      <c r="D49" s="1" t="s">
        <v>27</v>
      </c>
      <c r="E49" s="1" t="s">
        <v>34</v>
      </c>
      <c r="F49" s="1" t="s">
        <v>24</v>
      </c>
      <c r="G49" s="1">
        <v>4</v>
      </c>
      <c r="H49" s="1">
        <v>55000</v>
      </c>
      <c r="I49" s="1">
        <v>0</v>
      </c>
      <c r="J49" s="1">
        <v>220000</v>
      </c>
      <c r="K49" s="1">
        <v>47399.199999999997</v>
      </c>
      <c r="L49" s="1" t="str">
        <f>IF(K49&gt;=15000,"High Profit","Low Profit")</f>
        <v>High Profit</v>
      </c>
      <c r="M49" s="1">
        <f>YEAR(B49)</f>
        <v>2025</v>
      </c>
      <c r="N49" s="1" t="str">
        <f>TEXT(B49,"mmmm")</f>
        <v>May</v>
      </c>
      <c r="O49" s="1" t="str">
        <f>IF(J49&gt;=100000,"Excellent", IF(J49&gt;=50000,"Good","Average"))</f>
        <v>Excellent</v>
      </c>
      <c r="P49" s="1">
        <f>(H49*G49)*(I49/100)</f>
        <v>0</v>
      </c>
      <c r="Q49" s="1">
        <f ca="1">J49-Q49</f>
        <v>0</v>
      </c>
    </row>
    <row r="50" spans="1:17" x14ac:dyDescent="0.25">
      <c r="A50" s="1">
        <v>1098</v>
      </c>
      <c r="B50" s="1" t="s">
        <v>121</v>
      </c>
      <c r="C50" s="1" t="s">
        <v>26</v>
      </c>
      <c r="D50" s="1" t="s">
        <v>17</v>
      </c>
      <c r="E50" s="1" t="s">
        <v>34</v>
      </c>
      <c r="F50" s="1" t="s">
        <v>24</v>
      </c>
      <c r="G50" s="1">
        <v>5</v>
      </c>
      <c r="H50" s="1">
        <v>55000</v>
      </c>
      <c r="I50" s="1">
        <v>20</v>
      </c>
      <c r="J50" s="1">
        <v>220000</v>
      </c>
      <c r="K50" s="1">
        <v>34562.19</v>
      </c>
      <c r="L50" s="1" t="str">
        <f>IF(K50&gt;=15000,"High Profit","Low Profit")</f>
        <v>High Profit</v>
      </c>
      <c r="M50" s="1">
        <f>YEAR(B50)</f>
        <v>2025</v>
      </c>
      <c r="N50" s="1" t="str">
        <f>TEXT(B50,"mmmm")</f>
        <v>November</v>
      </c>
      <c r="O50" s="1" t="str">
        <f>IF(J50&gt;=100000,"Excellent", IF(J50&gt;=50000,"Good","Average"))</f>
        <v>Excellent</v>
      </c>
      <c r="P50" s="1">
        <f>(H50*G50)*(I50/100)</f>
        <v>55000</v>
      </c>
      <c r="Q50" s="1">
        <f ca="1">J50-Q50</f>
        <v>0</v>
      </c>
    </row>
    <row r="51" spans="1:17" x14ac:dyDescent="0.25">
      <c r="A51" s="1">
        <v>1366</v>
      </c>
      <c r="B51" s="1" t="s">
        <v>294</v>
      </c>
      <c r="C51" s="1" t="s">
        <v>12</v>
      </c>
      <c r="D51" s="1" t="s">
        <v>13</v>
      </c>
      <c r="E51" s="1" t="s">
        <v>34</v>
      </c>
      <c r="F51" s="1" t="s">
        <v>24</v>
      </c>
      <c r="G51" s="1">
        <v>4</v>
      </c>
      <c r="H51" s="1">
        <v>55000</v>
      </c>
      <c r="I51" s="1">
        <v>0</v>
      </c>
      <c r="J51" s="1">
        <v>220000</v>
      </c>
      <c r="K51" s="1">
        <v>30141.18</v>
      </c>
      <c r="L51" s="1" t="str">
        <f>IF(K51&gt;=15000,"High Profit","Low Profit")</f>
        <v>High Profit</v>
      </c>
      <c r="M51" s="1">
        <f>YEAR(B51)</f>
        <v>2025</v>
      </c>
      <c r="N51" s="1" t="str">
        <f>TEXT(B51,"mmmm")</f>
        <v>November</v>
      </c>
      <c r="O51" s="1" t="str">
        <f>IF(J51&gt;=100000,"Excellent", IF(J51&gt;=50000,"Good","Average"))</f>
        <v>Excellent</v>
      </c>
      <c r="P51" s="1">
        <f>(H51*G51)*(I51/100)</f>
        <v>0</v>
      </c>
      <c r="Q51" s="1">
        <f ca="1">J51-Q51</f>
        <v>0</v>
      </c>
    </row>
    <row r="52" spans="1:17" x14ac:dyDescent="0.25">
      <c r="A52" s="1">
        <v>1057</v>
      </c>
      <c r="B52" s="1" t="s">
        <v>83</v>
      </c>
      <c r="C52" s="1" t="s">
        <v>12</v>
      </c>
      <c r="D52" s="1" t="s">
        <v>17</v>
      </c>
      <c r="E52" s="1" t="s">
        <v>34</v>
      </c>
      <c r="F52" s="1" t="s">
        <v>24</v>
      </c>
      <c r="G52" s="1">
        <v>4</v>
      </c>
      <c r="H52" s="1">
        <v>55000</v>
      </c>
      <c r="I52" s="1">
        <v>5</v>
      </c>
      <c r="J52" s="1">
        <v>209000</v>
      </c>
      <c r="K52" s="1">
        <v>43777.440000000002</v>
      </c>
      <c r="L52" s="1" t="str">
        <f>IF(K52&gt;=15000,"High Profit","Low Profit")</f>
        <v>High Profit</v>
      </c>
      <c r="M52" s="1">
        <f>YEAR(B52)</f>
        <v>2025</v>
      </c>
      <c r="N52" s="1" t="str">
        <f>TEXT(B52,"mmmm")</f>
        <v>February</v>
      </c>
      <c r="O52" s="1" t="str">
        <f>IF(J52&gt;=100000,"Excellent", IF(J52&gt;=50000,"Good","Average"))</f>
        <v>Excellent</v>
      </c>
      <c r="P52" s="1">
        <f>(H52*G52)*(I52/100)</f>
        <v>11000</v>
      </c>
      <c r="Q52" s="1">
        <f ca="1">J52-Q52</f>
        <v>0</v>
      </c>
    </row>
    <row r="53" spans="1:17" x14ac:dyDescent="0.25">
      <c r="A53" s="1">
        <v>1241</v>
      </c>
      <c r="B53" s="1" t="s">
        <v>226</v>
      </c>
      <c r="C53" s="1" t="s">
        <v>45</v>
      </c>
      <c r="D53" s="1" t="s">
        <v>22</v>
      </c>
      <c r="E53" s="1" t="s">
        <v>34</v>
      </c>
      <c r="F53" s="1" t="s">
        <v>24</v>
      </c>
      <c r="G53" s="1">
        <v>4</v>
      </c>
      <c r="H53" s="1">
        <v>55000</v>
      </c>
      <c r="I53" s="1">
        <v>5</v>
      </c>
      <c r="J53" s="1">
        <v>209000</v>
      </c>
      <c r="K53" s="1">
        <v>31152.86</v>
      </c>
      <c r="L53" s="1" t="str">
        <f>IF(K53&gt;=15000,"High Profit","Low Profit")</f>
        <v>High Profit</v>
      </c>
      <c r="M53" s="1">
        <f>YEAR(B53)</f>
        <v>2025</v>
      </c>
      <c r="N53" s="1" t="str">
        <f>TEXT(B53,"mmmm")</f>
        <v>September</v>
      </c>
      <c r="O53" s="1" t="str">
        <f>IF(J53&gt;=100000,"Excellent", IF(J53&gt;=50000,"Good","Average"))</f>
        <v>Excellent</v>
      </c>
      <c r="P53" s="1">
        <f>(H53*G53)*(I53/100)</f>
        <v>11000</v>
      </c>
      <c r="Q53" s="1">
        <f ca="1">J53-Q53</f>
        <v>0</v>
      </c>
    </row>
    <row r="54" spans="1:17" x14ac:dyDescent="0.25">
      <c r="A54" s="1">
        <v>1308</v>
      </c>
      <c r="B54" s="1" t="s">
        <v>267</v>
      </c>
      <c r="C54" s="1" t="s">
        <v>45</v>
      </c>
      <c r="D54" s="1" t="s">
        <v>17</v>
      </c>
      <c r="E54" s="1" t="s">
        <v>34</v>
      </c>
      <c r="F54" s="1" t="s">
        <v>24</v>
      </c>
      <c r="G54" s="1">
        <v>4</v>
      </c>
      <c r="H54" s="1">
        <v>55000</v>
      </c>
      <c r="I54" s="1">
        <v>10</v>
      </c>
      <c r="J54" s="1">
        <v>198000</v>
      </c>
      <c r="K54" s="1">
        <v>27699.25</v>
      </c>
      <c r="L54" s="1" t="str">
        <f>IF(K54&gt;=15000,"High Profit","Low Profit")</f>
        <v>High Profit</v>
      </c>
      <c r="M54" s="1">
        <f>YEAR(B54)</f>
        <v>2025</v>
      </c>
      <c r="N54" s="1" t="str">
        <f>TEXT(B54,"mmmm")</f>
        <v>February</v>
      </c>
      <c r="O54" s="1" t="str">
        <f>IF(J54&gt;=100000,"Excellent", IF(J54&gt;=50000,"Good","Average"))</f>
        <v>Excellent</v>
      </c>
      <c r="P54" s="1">
        <f>(H54*G54)*(I54/100)</f>
        <v>22000</v>
      </c>
      <c r="Q54" s="1">
        <f ca="1">J54-Q54</f>
        <v>0</v>
      </c>
    </row>
    <row r="55" spans="1:17" x14ac:dyDescent="0.25">
      <c r="A55" s="1">
        <v>1265</v>
      </c>
      <c r="B55" s="1" t="s">
        <v>241</v>
      </c>
      <c r="C55" s="1" t="s">
        <v>41</v>
      </c>
      <c r="D55" s="1" t="s">
        <v>13</v>
      </c>
      <c r="E55" s="1" t="s">
        <v>34</v>
      </c>
      <c r="F55" s="1" t="s">
        <v>24</v>
      </c>
      <c r="G55" s="1">
        <v>4</v>
      </c>
      <c r="H55" s="1">
        <v>55000</v>
      </c>
      <c r="I55" s="1">
        <v>15</v>
      </c>
      <c r="J55" s="1">
        <v>187000</v>
      </c>
      <c r="K55" s="1">
        <v>31196.92</v>
      </c>
      <c r="L55" s="1" t="str">
        <f>IF(K55&gt;=15000,"High Profit","Low Profit")</f>
        <v>High Profit</v>
      </c>
      <c r="M55" s="1">
        <f>YEAR(B55)</f>
        <v>2025</v>
      </c>
      <c r="N55" s="1" t="str">
        <f>TEXT(B55,"mmmm")</f>
        <v>August</v>
      </c>
      <c r="O55" s="1" t="str">
        <f>IF(J55&gt;=100000,"Excellent", IF(J55&gt;=50000,"Good","Average"))</f>
        <v>Excellent</v>
      </c>
      <c r="P55" s="1">
        <f>(H55*G55)*(I55/100)</f>
        <v>33000</v>
      </c>
      <c r="Q55" s="1">
        <f ca="1">J55-Q55</f>
        <v>0</v>
      </c>
    </row>
    <row r="56" spans="1:17" x14ac:dyDescent="0.25">
      <c r="A56" s="1">
        <v>1410</v>
      </c>
      <c r="B56" s="1" t="s">
        <v>168</v>
      </c>
      <c r="C56" s="1" t="s">
        <v>47</v>
      </c>
      <c r="D56" s="1" t="s">
        <v>13</v>
      </c>
      <c r="E56" s="1" t="s">
        <v>34</v>
      </c>
      <c r="F56" s="1" t="s">
        <v>24</v>
      </c>
      <c r="G56" s="1">
        <v>4</v>
      </c>
      <c r="H56" s="1">
        <v>55000</v>
      </c>
      <c r="I56" s="1">
        <v>20</v>
      </c>
      <c r="J56" s="1">
        <v>176000</v>
      </c>
      <c r="K56" s="1">
        <v>17707.72</v>
      </c>
      <c r="L56" s="1" t="str">
        <f>IF(K56&gt;=15000,"High Profit","Low Profit")</f>
        <v>High Profit</v>
      </c>
      <c r="M56" s="1">
        <f>YEAR(B56)</f>
        <v>2025</v>
      </c>
      <c r="N56" s="1" t="str">
        <f>TEXT(B56,"mmmm")</f>
        <v>April</v>
      </c>
      <c r="O56" s="1" t="str">
        <f>IF(J56&gt;=100000,"Excellent", IF(J56&gt;=50000,"Good","Average"))</f>
        <v>Excellent</v>
      </c>
      <c r="P56" s="1">
        <f>(H56*G56)*(I56/100)</f>
        <v>44000</v>
      </c>
      <c r="Q56" s="1">
        <f ca="1">J56-Q56</f>
        <v>0</v>
      </c>
    </row>
    <row r="57" spans="1:17" x14ac:dyDescent="0.25">
      <c r="A57" s="1">
        <v>1062</v>
      </c>
      <c r="B57" s="1" t="s">
        <v>87</v>
      </c>
      <c r="C57" s="1" t="s">
        <v>21</v>
      </c>
      <c r="D57" s="1" t="s">
        <v>17</v>
      </c>
      <c r="E57" s="1" t="s">
        <v>34</v>
      </c>
      <c r="F57" s="1" t="s">
        <v>24</v>
      </c>
      <c r="G57" s="1">
        <v>3</v>
      </c>
      <c r="H57" s="1">
        <v>55000</v>
      </c>
      <c r="I57" s="1">
        <v>0</v>
      </c>
      <c r="J57" s="1">
        <v>165000</v>
      </c>
      <c r="K57" s="1">
        <v>14823.7</v>
      </c>
      <c r="L57" s="1" t="str">
        <f>IF(K57&gt;=15000,"High Profit","Low Profit")</f>
        <v>Low Profit</v>
      </c>
      <c r="M57" s="1">
        <f>YEAR(B57)</f>
        <v>2025</v>
      </c>
      <c r="N57" s="1" t="str">
        <f>TEXT(B57,"mmmm")</f>
        <v>January</v>
      </c>
      <c r="O57" s="1" t="str">
        <f>IF(J57&gt;=100000,"Excellent", IF(J57&gt;=50000,"Good","Average"))</f>
        <v>Excellent</v>
      </c>
      <c r="P57" s="1">
        <f>(H57*G57)*(I57/100)</f>
        <v>0</v>
      </c>
      <c r="Q57" s="1">
        <f ca="1">J57-Q57</f>
        <v>0</v>
      </c>
    </row>
    <row r="58" spans="1:17" x14ac:dyDescent="0.25">
      <c r="A58" s="1">
        <v>1406</v>
      </c>
      <c r="B58" s="1" t="s">
        <v>221</v>
      </c>
      <c r="C58" s="1" t="s">
        <v>12</v>
      </c>
      <c r="D58" s="1" t="s">
        <v>13</v>
      </c>
      <c r="E58" s="1" t="s">
        <v>34</v>
      </c>
      <c r="F58" s="1" t="s">
        <v>24</v>
      </c>
      <c r="G58" s="1">
        <v>3</v>
      </c>
      <c r="H58" s="1">
        <v>55000</v>
      </c>
      <c r="I58" s="1">
        <v>0</v>
      </c>
      <c r="J58" s="1">
        <v>165000</v>
      </c>
      <c r="K58" s="1">
        <v>16849.13</v>
      </c>
      <c r="L58" s="1" t="str">
        <f>IF(K58&gt;=15000,"High Profit","Low Profit")</f>
        <v>High Profit</v>
      </c>
      <c r="M58" s="1">
        <f>YEAR(B58)</f>
        <v>2025</v>
      </c>
      <c r="N58" s="1" t="str">
        <f>TEXT(B58,"mmmm")</f>
        <v>July</v>
      </c>
      <c r="O58" s="1" t="str">
        <f>IF(J58&gt;=100000,"Excellent", IF(J58&gt;=50000,"Good","Average"))</f>
        <v>Excellent</v>
      </c>
      <c r="P58" s="1">
        <f>(H58*G58)*(I58/100)</f>
        <v>0</v>
      </c>
      <c r="Q58" s="1">
        <f ca="1">J58-Q58</f>
        <v>0</v>
      </c>
    </row>
    <row r="59" spans="1:17" x14ac:dyDescent="0.25">
      <c r="A59" s="1">
        <v>1192</v>
      </c>
      <c r="B59" s="1" t="s">
        <v>192</v>
      </c>
      <c r="C59" s="1" t="s">
        <v>39</v>
      </c>
      <c r="D59" s="1" t="s">
        <v>27</v>
      </c>
      <c r="E59" s="1" t="s">
        <v>34</v>
      </c>
      <c r="F59" s="1" t="s">
        <v>24</v>
      </c>
      <c r="G59" s="1">
        <v>3</v>
      </c>
      <c r="H59" s="1">
        <v>55000</v>
      </c>
      <c r="I59" s="1">
        <v>5</v>
      </c>
      <c r="J59" s="1">
        <v>156750</v>
      </c>
      <c r="K59" s="1">
        <v>22150.720000000001</v>
      </c>
      <c r="L59" s="1" t="str">
        <f>IF(K59&gt;=15000,"High Profit","Low Profit")</f>
        <v>High Profit</v>
      </c>
      <c r="M59" s="1">
        <f>YEAR(B59)</f>
        <v>2026</v>
      </c>
      <c r="N59" s="1" t="str">
        <f>TEXT(B59,"mmmm")</f>
        <v>May</v>
      </c>
      <c r="O59" s="1" t="str">
        <f>IF(J59&gt;=100000,"Excellent", IF(J59&gt;=50000,"Good","Average"))</f>
        <v>Excellent</v>
      </c>
      <c r="P59" s="1">
        <f>(H59*G59)*(I59/100)</f>
        <v>8250</v>
      </c>
      <c r="Q59" s="1">
        <f ca="1">J59-Q59</f>
        <v>0</v>
      </c>
    </row>
    <row r="60" spans="1:17" x14ac:dyDescent="0.25">
      <c r="A60" s="1">
        <v>1149</v>
      </c>
      <c r="B60" s="1" t="s">
        <v>164</v>
      </c>
      <c r="C60" s="1" t="s">
        <v>12</v>
      </c>
      <c r="D60" s="1" t="s">
        <v>22</v>
      </c>
      <c r="E60" s="1" t="s">
        <v>34</v>
      </c>
      <c r="F60" s="1" t="s">
        <v>24</v>
      </c>
      <c r="G60" s="1">
        <v>3</v>
      </c>
      <c r="H60" s="1">
        <v>55000</v>
      </c>
      <c r="I60" s="1">
        <v>10</v>
      </c>
      <c r="J60" s="1">
        <v>148500</v>
      </c>
      <c r="K60" s="1">
        <v>12177.11</v>
      </c>
      <c r="L60" s="1" t="str">
        <f>IF(K60&gt;=15000,"High Profit","Low Profit")</f>
        <v>Low Profit</v>
      </c>
      <c r="M60" s="1">
        <f>YEAR(B60)</f>
        <v>2026</v>
      </c>
      <c r="N60" s="1" t="str">
        <f>TEXT(B60,"mmmm")</f>
        <v>June</v>
      </c>
      <c r="O60" s="1" t="str">
        <f>IF(J60&gt;=100000,"Excellent", IF(J60&gt;=50000,"Good","Average"))</f>
        <v>Excellent</v>
      </c>
      <c r="P60" s="1">
        <f>(H60*G60)*(I60/100)</f>
        <v>16500</v>
      </c>
      <c r="Q60" s="1">
        <f ca="1">J60-Q60</f>
        <v>0</v>
      </c>
    </row>
    <row r="61" spans="1:17" x14ac:dyDescent="0.25">
      <c r="A61" s="1">
        <v>1196</v>
      </c>
      <c r="B61" s="1" t="s">
        <v>196</v>
      </c>
      <c r="C61" s="1" t="s">
        <v>47</v>
      </c>
      <c r="D61" s="1" t="s">
        <v>17</v>
      </c>
      <c r="E61" s="1" t="s">
        <v>34</v>
      </c>
      <c r="F61" s="1" t="s">
        <v>24</v>
      </c>
      <c r="G61" s="1">
        <v>3</v>
      </c>
      <c r="H61" s="1">
        <v>55000</v>
      </c>
      <c r="I61" s="1">
        <v>10</v>
      </c>
      <c r="J61" s="1">
        <v>148500</v>
      </c>
      <c r="K61" s="1">
        <v>33402.120000000003</v>
      </c>
      <c r="L61" s="1" t="str">
        <f>IF(K61&gt;=15000,"High Profit","Low Profit")</f>
        <v>High Profit</v>
      </c>
      <c r="M61" s="1">
        <f>YEAR(B61)</f>
        <v>2026</v>
      </c>
      <c r="N61" s="1" t="str">
        <f>TEXT(B61,"mmmm")</f>
        <v>March</v>
      </c>
      <c r="O61" s="1" t="str">
        <f>IF(J61&gt;=100000,"Excellent", IF(J61&gt;=50000,"Good","Average"))</f>
        <v>Excellent</v>
      </c>
      <c r="P61" s="1">
        <f>(H61*G61)*(I61/100)</f>
        <v>16500</v>
      </c>
      <c r="Q61" s="1">
        <f ca="1">J61-Q61</f>
        <v>0</v>
      </c>
    </row>
    <row r="62" spans="1:17" x14ac:dyDescent="0.25">
      <c r="A62" s="1">
        <v>1288</v>
      </c>
      <c r="B62" s="1" t="s">
        <v>194</v>
      </c>
      <c r="C62" s="1" t="s">
        <v>36</v>
      </c>
      <c r="D62" s="1" t="s">
        <v>13</v>
      </c>
      <c r="E62" s="1" t="s">
        <v>34</v>
      </c>
      <c r="F62" s="1" t="s">
        <v>24</v>
      </c>
      <c r="G62" s="1">
        <v>3</v>
      </c>
      <c r="H62" s="1">
        <v>55000</v>
      </c>
      <c r="I62" s="1">
        <v>15</v>
      </c>
      <c r="J62" s="1">
        <v>140250</v>
      </c>
      <c r="K62" s="1">
        <v>25913.3</v>
      </c>
      <c r="L62" s="1" t="str">
        <f>IF(K62&gt;=15000,"High Profit","Low Profit")</f>
        <v>High Profit</v>
      </c>
      <c r="M62" s="1">
        <f>YEAR(B62)</f>
        <v>2026</v>
      </c>
      <c r="N62" s="1" t="str">
        <f>TEXT(B62,"mmmm")</f>
        <v>June</v>
      </c>
      <c r="O62" s="1" t="str">
        <f>IF(J62&gt;=100000,"Excellent", IF(J62&gt;=50000,"Good","Average"))</f>
        <v>Excellent</v>
      </c>
      <c r="P62" s="1">
        <f>(H62*G62)*(I62/100)</f>
        <v>24750</v>
      </c>
      <c r="Q62" s="1">
        <f ca="1">J62-Q62</f>
        <v>0</v>
      </c>
    </row>
    <row r="63" spans="1:17" x14ac:dyDescent="0.25">
      <c r="A63" s="1">
        <v>1321</v>
      </c>
      <c r="B63" s="1" t="s">
        <v>274</v>
      </c>
      <c r="C63" s="1" t="s">
        <v>26</v>
      </c>
      <c r="D63" s="1" t="s">
        <v>22</v>
      </c>
      <c r="E63" s="1" t="s">
        <v>34</v>
      </c>
      <c r="F63" s="1" t="s">
        <v>24</v>
      </c>
      <c r="G63" s="1">
        <v>3</v>
      </c>
      <c r="H63" s="1">
        <v>55000</v>
      </c>
      <c r="I63" s="1">
        <v>15</v>
      </c>
      <c r="J63" s="1">
        <v>140250</v>
      </c>
      <c r="K63" s="1">
        <v>34986.76</v>
      </c>
      <c r="L63" s="1" t="str">
        <f>IF(K63&gt;=15000,"High Profit","Low Profit")</f>
        <v>High Profit</v>
      </c>
      <c r="M63" s="1">
        <f>YEAR(B63)</f>
        <v>2025</v>
      </c>
      <c r="N63" s="1" t="str">
        <f>TEXT(B63,"mmmm")</f>
        <v>December</v>
      </c>
      <c r="O63" s="1" t="str">
        <f>IF(J63&gt;=100000,"Excellent", IF(J63&gt;=50000,"Good","Average"))</f>
        <v>Excellent</v>
      </c>
      <c r="P63" s="1">
        <f>(H63*G63)*(I63/100)</f>
        <v>24750</v>
      </c>
      <c r="Q63" s="1">
        <f ca="1">J63-Q63</f>
        <v>0</v>
      </c>
    </row>
    <row r="64" spans="1:17" x14ac:dyDescent="0.25">
      <c r="A64" s="1">
        <v>1324</v>
      </c>
      <c r="B64" s="1" t="s">
        <v>276</v>
      </c>
      <c r="C64" s="1" t="s">
        <v>12</v>
      </c>
      <c r="D64" s="1" t="s">
        <v>22</v>
      </c>
      <c r="E64" s="1" t="s">
        <v>34</v>
      </c>
      <c r="F64" s="1" t="s">
        <v>24</v>
      </c>
      <c r="G64" s="1">
        <v>3</v>
      </c>
      <c r="H64" s="1">
        <v>55000</v>
      </c>
      <c r="I64" s="1">
        <v>15</v>
      </c>
      <c r="J64" s="1">
        <v>140250</v>
      </c>
      <c r="K64" s="1">
        <v>22723.7</v>
      </c>
      <c r="L64" s="1" t="str">
        <f>IF(K64&gt;=15000,"High Profit","Low Profit")</f>
        <v>High Profit</v>
      </c>
      <c r="M64" s="1">
        <f>YEAR(B64)</f>
        <v>2025</v>
      </c>
      <c r="N64" s="1" t="str">
        <f>TEXT(B64,"mmmm")</f>
        <v>July</v>
      </c>
      <c r="O64" s="1" t="str">
        <f>IF(J64&gt;=100000,"Excellent", IF(J64&gt;=50000,"Good","Average"))</f>
        <v>Excellent</v>
      </c>
      <c r="P64" s="1">
        <f>(H64*G64)*(I64/100)</f>
        <v>24750</v>
      </c>
      <c r="Q64" s="1">
        <f ca="1">J64-Q64</f>
        <v>0</v>
      </c>
    </row>
    <row r="65" spans="1:17" x14ac:dyDescent="0.25">
      <c r="A65" s="1">
        <v>1301</v>
      </c>
      <c r="B65" s="1" t="s">
        <v>245</v>
      </c>
      <c r="C65" s="1" t="s">
        <v>26</v>
      </c>
      <c r="D65" s="1" t="s">
        <v>13</v>
      </c>
      <c r="E65" s="1" t="s">
        <v>34</v>
      </c>
      <c r="F65" s="1" t="s">
        <v>24</v>
      </c>
      <c r="G65" s="1">
        <v>3</v>
      </c>
      <c r="H65" s="1">
        <v>55000</v>
      </c>
      <c r="I65" s="1">
        <v>20</v>
      </c>
      <c r="J65" s="1">
        <v>132000</v>
      </c>
      <c r="K65" s="1">
        <v>19882.12</v>
      </c>
      <c r="L65" s="1" t="str">
        <f>IF(K65&gt;=15000,"High Profit","Low Profit")</f>
        <v>High Profit</v>
      </c>
      <c r="M65" s="1">
        <f>YEAR(B65)</f>
        <v>2025</v>
      </c>
      <c r="N65" s="1" t="str">
        <f>TEXT(B65,"mmmm")</f>
        <v>August</v>
      </c>
      <c r="O65" s="1" t="str">
        <f>IF(J65&gt;=100000,"Excellent", IF(J65&gt;=50000,"Good","Average"))</f>
        <v>Excellent</v>
      </c>
      <c r="P65" s="1">
        <f>(H65*G65)*(I65/100)</f>
        <v>33000</v>
      </c>
      <c r="Q65" s="1">
        <f ca="1">J65-Q65</f>
        <v>0</v>
      </c>
    </row>
    <row r="66" spans="1:17" x14ac:dyDescent="0.25">
      <c r="A66" s="1">
        <v>1320</v>
      </c>
      <c r="B66" s="1" t="s">
        <v>273</v>
      </c>
      <c r="C66" s="1" t="s">
        <v>30</v>
      </c>
      <c r="D66" s="1" t="s">
        <v>22</v>
      </c>
      <c r="E66" s="1" t="s">
        <v>34</v>
      </c>
      <c r="F66" s="1" t="s">
        <v>24</v>
      </c>
      <c r="G66" s="1">
        <v>3</v>
      </c>
      <c r="H66" s="1">
        <v>55000</v>
      </c>
      <c r="I66" s="1">
        <v>20</v>
      </c>
      <c r="J66" s="1">
        <v>132000</v>
      </c>
      <c r="K66" s="1">
        <v>19952.599999999999</v>
      </c>
      <c r="L66" s="1" t="str">
        <f>IF(K66&gt;=15000,"High Profit","Low Profit")</f>
        <v>High Profit</v>
      </c>
      <c r="M66" s="1">
        <f>YEAR(B66)</f>
        <v>2026</v>
      </c>
      <c r="N66" s="1" t="str">
        <f>TEXT(B66,"mmmm")</f>
        <v>April</v>
      </c>
      <c r="O66" s="1" t="str">
        <f>IF(J66&gt;=100000,"Excellent", IF(J66&gt;=50000,"Good","Average"))</f>
        <v>Excellent</v>
      </c>
      <c r="P66" s="1">
        <f>(H66*G66)*(I66/100)</f>
        <v>33000</v>
      </c>
      <c r="Q66" s="1">
        <f ca="1">J66-Q66</f>
        <v>0</v>
      </c>
    </row>
    <row r="67" spans="1:17" x14ac:dyDescent="0.25">
      <c r="A67" s="1">
        <v>1162</v>
      </c>
      <c r="B67" s="1" t="s">
        <v>98</v>
      </c>
      <c r="C67" s="1" t="s">
        <v>45</v>
      </c>
      <c r="D67" s="1" t="s">
        <v>27</v>
      </c>
      <c r="E67" s="1" t="s">
        <v>23</v>
      </c>
      <c r="F67" s="1" t="s">
        <v>24</v>
      </c>
      <c r="G67" s="1">
        <v>10</v>
      </c>
      <c r="H67" s="1">
        <v>12000</v>
      </c>
      <c r="I67" s="1">
        <v>0</v>
      </c>
      <c r="J67" s="1">
        <v>120000</v>
      </c>
      <c r="K67" s="1">
        <v>25916.29</v>
      </c>
      <c r="L67" s="1" t="str">
        <f>IF(K67&gt;=15000,"High Profit","Low Profit")</f>
        <v>High Profit</v>
      </c>
      <c r="M67" s="1">
        <f>YEAR(B67)</f>
        <v>2025</v>
      </c>
      <c r="N67" s="1" t="str">
        <f>TEXT(B67,"mmmm")</f>
        <v>October</v>
      </c>
      <c r="O67" s="1" t="str">
        <f>IF(J67&gt;=100000,"Excellent", IF(J67&gt;=50000,"Good","Average"))</f>
        <v>Excellent</v>
      </c>
      <c r="P67" s="1">
        <f>(H67*G67)*(I67/100)</f>
        <v>0</v>
      </c>
      <c r="Q67" s="1">
        <f ca="1">J67-Q67</f>
        <v>0</v>
      </c>
    </row>
    <row r="68" spans="1:17" x14ac:dyDescent="0.25">
      <c r="A68" s="1">
        <v>1378</v>
      </c>
      <c r="B68" s="1" t="s">
        <v>299</v>
      </c>
      <c r="C68" s="1" t="s">
        <v>21</v>
      </c>
      <c r="D68" s="1" t="s">
        <v>27</v>
      </c>
      <c r="E68" s="1" t="s">
        <v>23</v>
      </c>
      <c r="F68" s="1" t="s">
        <v>24</v>
      </c>
      <c r="G68" s="1">
        <v>10</v>
      </c>
      <c r="H68" s="1">
        <v>12000</v>
      </c>
      <c r="I68" s="1">
        <v>0</v>
      </c>
      <c r="J68" s="1">
        <v>120000</v>
      </c>
      <c r="K68" s="1">
        <v>28990.18</v>
      </c>
      <c r="L68" s="1" t="str">
        <f>IF(K68&gt;=15000,"High Profit","Low Profit")</f>
        <v>High Profit</v>
      </c>
      <c r="M68" s="1">
        <f>YEAR(B68)</f>
        <v>2025</v>
      </c>
      <c r="N68" s="1" t="str">
        <f>TEXT(B68,"mmmm")</f>
        <v>March</v>
      </c>
      <c r="O68" s="1" t="str">
        <f>IF(J68&gt;=100000,"Excellent", IF(J68&gt;=50000,"Good","Average"))</f>
        <v>Excellent</v>
      </c>
      <c r="P68" s="1">
        <f>(H68*G68)*(I68/100)</f>
        <v>0</v>
      </c>
      <c r="Q68" s="1">
        <f ca="1">J68-Q68</f>
        <v>0</v>
      </c>
    </row>
    <row r="69" spans="1:17" x14ac:dyDescent="0.25">
      <c r="A69" s="1">
        <v>1071</v>
      </c>
      <c r="B69" s="1" t="s">
        <v>96</v>
      </c>
      <c r="C69" s="1" t="s">
        <v>45</v>
      </c>
      <c r="D69" s="1" t="s">
        <v>22</v>
      </c>
      <c r="E69" s="1" t="s">
        <v>23</v>
      </c>
      <c r="F69" s="1" t="s">
        <v>24</v>
      </c>
      <c r="G69" s="1">
        <v>10</v>
      </c>
      <c r="H69" s="1">
        <v>12000</v>
      </c>
      <c r="I69" s="1">
        <v>5</v>
      </c>
      <c r="J69" s="1">
        <v>114000</v>
      </c>
      <c r="K69" s="1">
        <v>27341.82</v>
      </c>
      <c r="L69" s="1" t="str">
        <f>IF(K69&gt;=15000,"High Profit","Low Profit")</f>
        <v>High Profit</v>
      </c>
      <c r="M69" s="1">
        <f>YEAR(B69)</f>
        <v>2025</v>
      </c>
      <c r="N69" s="1" t="str">
        <f>TEXT(B69,"mmmm")</f>
        <v>June</v>
      </c>
      <c r="O69" s="1" t="str">
        <f>IF(J69&gt;=100000,"Excellent", IF(J69&gt;=50000,"Good","Average"))</f>
        <v>Excellent</v>
      </c>
      <c r="P69" s="1">
        <f>(H69*G69)*(I69/100)</f>
        <v>6000</v>
      </c>
      <c r="Q69" s="1">
        <f ca="1">J69-Q69</f>
        <v>0</v>
      </c>
    </row>
    <row r="70" spans="1:17" x14ac:dyDescent="0.25">
      <c r="A70" s="1">
        <v>1251</v>
      </c>
      <c r="B70" s="1" t="s">
        <v>154</v>
      </c>
      <c r="C70" s="1" t="s">
        <v>41</v>
      </c>
      <c r="D70" s="1" t="s">
        <v>27</v>
      </c>
      <c r="E70" s="1" t="s">
        <v>23</v>
      </c>
      <c r="F70" s="1" t="s">
        <v>24</v>
      </c>
      <c r="G70" s="1">
        <v>10</v>
      </c>
      <c r="H70" s="1">
        <v>12000</v>
      </c>
      <c r="I70" s="1">
        <v>5</v>
      </c>
      <c r="J70" s="1">
        <v>114000</v>
      </c>
      <c r="K70" s="1">
        <v>9843.27</v>
      </c>
      <c r="L70" s="1" t="str">
        <f>IF(K70&gt;=15000,"High Profit","Low Profit")</f>
        <v>Low Profit</v>
      </c>
      <c r="M70" s="1">
        <f>YEAR(B70)</f>
        <v>2025</v>
      </c>
      <c r="N70" s="1" t="str">
        <f>TEXT(B70,"mmmm")</f>
        <v>May</v>
      </c>
      <c r="O70" s="1" t="str">
        <f>IF(J70&gt;=100000,"Excellent", IF(J70&gt;=50000,"Good","Average"))</f>
        <v>Excellent</v>
      </c>
      <c r="P70" s="1">
        <f>(H70*G70)*(I70/100)</f>
        <v>6000</v>
      </c>
      <c r="Q70" s="1">
        <f ca="1">J70-Q70</f>
        <v>0</v>
      </c>
    </row>
    <row r="71" spans="1:17" x14ac:dyDescent="0.25">
      <c r="A71" s="1">
        <v>1423</v>
      </c>
      <c r="B71" s="1" t="s">
        <v>84</v>
      </c>
      <c r="C71" s="1" t="s">
        <v>39</v>
      </c>
      <c r="D71" s="1" t="s">
        <v>27</v>
      </c>
      <c r="E71" s="1" t="s">
        <v>23</v>
      </c>
      <c r="F71" s="1" t="s">
        <v>24</v>
      </c>
      <c r="G71" s="1">
        <v>10</v>
      </c>
      <c r="H71" s="1">
        <v>12000</v>
      </c>
      <c r="I71" s="1">
        <v>5</v>
      </c>
      <c r="J71" s="1">
        <v>114000</v>
      </c>
      <c r="K71" s="1">
        <v>12379.41</v>
      </c>
      <c r="L71" s="1" t="str">
        <f>IF(K71&gt;=15000,"High Profit","Low Profit")</f>
        <v>Low Profit</v>
      </c>
      <c r="M71" s="1">
        <f>YEAR(B71)</f>
        <v>2025</v>
      </c>
      <c r="N71" s="1" t="str">
        <f>TEXT(B71,"mmmm")</f>
        <v>January</v>
      </c>
      <c r="O71" s="1" t="str">
        <f>IF(J71&gt;=100000,"Excellent", IF(J71&gt;=50000,"Good","Average"))</f>
        <v>Excellent</v>
      </c>
      <c r="P71" s="1">
        <f>(H71*G71)*(I71/100)</f>
        <v>6000</v>
      </c>
      <c r="Q71" s="1">
        <f ca="1">J71-Q71</f>
        <v>0</v>
      </c>
    </row>
    <row r="72" spans="1:17" x14ac:dyDescent="0.25">
      <c r="A72" s="1">
        <v>1446</v>
      </c>
      <c r="B72" s="1" t="s">
        <v>327</v>
      </c>
      <c r="C72" s="1" t="s">
        <v>21</v>
      </c>
      <c r="D72" s="1" t="s">
        <v>27</v>
      </c>
      <c r="E72" s="1" t="s">
        <v>23</v>
      </c>
      <c r="F72" s="1" t="s">
        <v>24</v>
      </c>
      <c r="G72" s="1">
        <v>10</v>
      </c>
      <c r="H72" s="1">
        <v>12000</v>
      </c>
      <c r="I72" s="1">
        <v>5</v>
      </c>
      <c r="J72" s="1">
        <v>114000</v>
      </c>
      <c r="K72" s="1">
        <v>23480.7</v>
      </c>
      <c r="L72" s="1" t="str">
        <f>IF(K72&gt;=15000,"High Profit","Low Profit")</f>
        <v>High Profit</v>
      </c>
      <c r="M72" s="1">
        <f>YEAR(B72)</f>
        <v>2025</v>
      </c>
      <c r="N72" s="1" t="str">
        <f>TEXT(B72,"mmmm")</f>
        <v>May</v>
      </c>
      <c r="O72" s="1" t="str">
        <f>IF(J72&gt;=100000,"Excellent", IF(J72&gt;=50000,"Good","Average"))</f>
        <v>Excellent</v>
      </c>
      <c r="P72" s="1">
        <f>(H72*G72)*(I72/100)</f>
        <v>6000</v>
      </c>
      <c r="Q72" s="1">
        <f ca="1">J72-Q72</f>
        <v>0</v>
      </c>
    </row>
    <row r="73" spans="1:17" x14ac:dyDescent="0.25">
      <c r="A73" s="1">
        <v>1183</v>
      </c>
      <c r="B73" s="1" t="s">
        <v>111</v>
      </c>
      <c r="C73" s="1" t="s">
        <v>30</v>
      </c>
      <c r="D73" s="1" t="s">
        <v>13</v>
      </c>
      <c r="E73" s="1" t="s">
        <v>23</v>
      </c>
      <c r="F73" s="1" t="s">
        <v>24</v>
      </c>
      <c r="G73" s="1">
        <v>9</v>
      </c>
      <c r="H73" s="1">
        <v>12000</v>
      </c>
      <c r="I73" s="1">
        <v>0</v>
      </c>
      <c r="J73" s="1">
        <v>108000</v>
      </c>
      <c r="K73" s="1">
        <v>20309.740000000002</v>
      </c>
      <c r="L73" s="1" t="str">
        <f>IF(K73&gt;=15000,"High Profit","Low Profit")</f>
        <v>High Profit</v>
      </c>
      <c r="M73" s="1">
        <f>YEAR(B73)</f>
        <v>2025</v>
      </c>
      <c r="N73" s="1" t="str">
        <f>TEXT(B73,"mmmm")</f>
        <v>July</v>
      </c>
      <c r="O73" s="1" t="str">
        <f>IF(J73&gt;=100000,"Excellent", IF(J73&gt;=50000,"Good","Average"))</f>
        <v>Excellent</v>
      </c>
      <c r="P73" s="1">
        <f>(H73*G73)*(I73/100)</f>
        <v>0</v>
      </c>
      <c r="Q73" s="1">
        <f ca="1">J73-Q73</f>
        <v>0</v>
      </c>
    </row>
    <row r="74" spans="1:17" x14ac:dyDescent="0.25">
      <c r="A74" s="1">
        <v>1287</v>
      </c>
      <c r="B74" s="1" t="s">
        <v>256</v>
      </c>
      <c r="C74" s="1" t="s">
        <v>30</v>
      </c>
      <c r="D74" s="1" t="s">
        <v>27</v>
      </c>
      <c r="E74" s="1" t="s">
        <v>23</v>
      </c>
      <c r="F74" s="1" t="s">
        <v>24</v>
      </c>
      <c r="G74" s="1">
        <v>9</v>
      </c>
      <c r="H74" s="1">
        <v>12000</v>
      </c>
      <c r="I74" s="1">
        <v>0</v>
      </c>
      <c r="J74" s="1">
        <v>108000</v>
      </c>
      <c r="K74" s="1">
        <v>20283.490000000002</v>
      </c>
      <c r="L74" s="1" t="str">
        <f>IF(K74&gt;=15000,"High Profit","Low Profit")</f>
        <v>High Profit</v>
      </c>
      <c r="M74" s="1">
        <f>YEAR(B74)</f>
        <v>2025</v>
      </c>
      <c r="N74" s="1" t="str">
        <f>TEXT(B74,"mmmm")</f>
        <v>June</v>
      </c>
      <c r="O74" s="1" t="str">
        <f>IF(J74&gt;=100000,"Excellent", IF(J74&gt;=50000,"Good","Average"))</f>
        <v>Excellent</v>
      </c>
      <c r="P74" s="1">
        <f>(H74*G74)*(I74/100)</f>
        <v>0</v>
      </c>
      <c r="Q74" s="1">
        <f ca="1">J74-Q74</f>
        <v>0</v>
      </c>
    </row>
    <row r="75" spans="1:17" x14ac:dyDescent="0.25">
      <c r="A75" s="1">
        <v>1312</v>
      </c>
      <c r="B75" s="1" t="s">
        <v>33</v>
      </c>
      <c r="C75" s="1" t="s">
        <v>41</v>
      </c>
      <c r="D75" s="1" t="s">
        <v>27</v>
      </c>
      <c r="E75" s="1" t="s">
        <v>23</v>
      </c>
      <c r="F75" s="1" t="s">
        <v>24</v>
      </c>
      <c r="G75" s="1">
        <v>10</v>
      </c>
      <c r="H75" s="1">
        <v>12000</v>
      </c>
      <c r="I75" s="1">
        <v>10</v>
      </c>
      <c r="J75" s="1">
        <v>108000</v>
      </c>
      <c r="K75" s="1">
        <v>21069.66</v>
      </c>
      <c r="L75" s="1" t="str">
        <f>IF(K75&gt;=15000,"High Profit","Low Profit")</f>
        <v>High Profit</v>
      </c>
      <c r="M75" s="1">
        <f>YEAR(B75)</f>
        <v>2025</v>
      </c>
      <c r="N75" s="1" t="str">
        <f>TEXT(B75,"mmmm")</f>
        <v>January</v>
      </c>
      <c r="O75" s="1" t="str">
        <f>IF(J75&gt;=100000,"Excellent", IF(J75&gt;=50000,"Good","Average"))</f>
        <v>Excellent</v>
      </c>
      <c r="P75" s="1">
        <f>(H75*G75)*(I75/100)</f>
        <v>12000</v>
      </c>
      <c r="Q75" s="1">
        <f ca="1">J75-Q75</f>
        <v>0</v>
      </c>
    </row>
    <row r="76" spans="1:17" x14ac:dyDescent="0.25">
      <c r="A76" s="1">
        <v>1428</v>
      </c>
      <c r="B76" s="1" t="s">
        <v>321</v>
      </c>
      <c r="C76" s="1" t="s">
        <v>32</v>
      </c>
      <c r="D76" s="1" t="s">
        <v>22</v>
      </c>
      <c r="E76" s="1" t="s">
        <v>23</v>
      </c>
      <c r="F76" s="1" t="s">
        <v>24</v>
      </c>
      <c r="G76" s="1">
        <v>10</v>
      </c>
      <c r="H76" s="1">
        <v>12000</v>
      </c>
      <c r="I76" s="1">
        <v>10</v>
      </c>
      <c r="J76" s="1">
        <v>108000</v>
      </c>
      <c r="K76" s="1">
        <v>13078.82</v>
      </c>
      <c r="L76" s="1" t="str">
        <f>IF(K76&gt;=15000,"High Profit","Low Profit")</f>
        <v>Low Profit</v>
      </c>
      <c r="M76" s="1">
        <f>YEAR(B76)</f>
        <v>2025</v>
      </c>
      <c r="N76" s="1" t="str">
        <f>TEXT(B76,"mmmm")</f>
        <v>August</v>
      </c>
      <c r="O76" s="1" t="str">
        <f>IF(J76&gt;=100000,"Excellent", IF(J76&gt;=50000,"Good","Average"))</f>
        <v>Excellent</v>
      </c>
      <c r="P76" s="1">
        <f>(H76*G76)*(I76/100)</f>
        <v>12000</v>
      </c>
      <c r="Q76" s="1">
        <f ca="1">J76-Q76</f>
        <v>0</v>
      </c>
    </row>
    <row r="77" spans="1:17" x14ac:dyDescent="0.25">
      <c r="A77" s="1">
        <v>1465</v>
      </c>
      <c r="B77" s="1" t="s">
        <v>293</v>
      </c>
      <c r="C77" s="1" t="s">
        <v>32</v>
      </c>
      <c r="D77" s="1" t="s">
        <v>17</v>
      </c>
      <c r="E77" s="1" t="s">
        <v>34</v>
      </c>
      <c r="F77" s="1" t="s">
        <v>24</v>
      </c>
      <c r="G77" s="1">
        <v>2</v>
      </c>
      <c r="H77" s="1">
        <v>55000</v>
      </c>
      <c r="I77" s="1">
        <v>5</v>
      </c>
      <c r="J77" s="1">
        <v>104500</v>
      </c>
      <c r="K77" s="1">
        <v>12971.82</v>
      </c>
      <c r="L77" s="1" t="str">
        <f>IF(K77&gt;=15000,"High Profit","Low Profit")</f>
        <v>Low Profit</v>
      </c>
      <c r="M77" s="1">
        <f>YEAR(B77)</f>
        <v>2025</v>
      </c>
      <c r="N77" s="1" t="str">
        <f>TEXT(B77,"mmmm")</f>
        <v>December</v>
      </c>
      <c r="O77" s="1" t="str">
        <f>IF(J77&gt;=100000,"Excellent", IF(J77&gt;=50000,"Good","Average"))</f>
        <v>Excellent</v>
      </c>
      <c r="P77" s="1">
        <f>(H77*G77)*(I77/100)</f>
        <v>5500</v>
      </c>
      <c r="Q77" s="1">
        <f ca="1">J77-Q77</f>
        <v>0</v>
      </c>
    </row>
    <row r="78" spans="1:17" x14ac:dyDescent="0.25">
      <c r="A78" s="1">
        <v>1304</v>
      </c>
      <c r="B78" s="1" t="s">
        <v>178</v>
      </c>
      <c r="C78" s="1" t="s">
        <v>36</v>
      </c>
      <c r="D78" s="1" t="s">
        <v>13</v>
      </c>
      <c r="E78" s="1" t="s">
        <v>23</v>
      </c>
      <c r="F78" s="1" t="s">
        <v>24</v>
      </c>
      <c r="G78" s="1">
        <v>9</v>
      </c>
      <c r="H78" s="1">
        <v>12000</v>
      </c>
      <c r="I78" s="1">
        <v>5</v>
      </c>
      <c r="J78" s="1">
        <v>102600</v>
      </c>
      <c r="K78" s="1">
        <v>11464.59</v>
      </c>
      <c r="L78" s="1" t="str">
        <f>IF(K78&gt;=15000,"High Profit","Low Profit")</f>
        <v>Low Profit</v>
      </c>
      <c r="M78" s="1">
        <f>YEAR(B78)</f>
        <v>2025</v>
      </c>
      <c r="N78" s="1" t="str">
        <f>TEXT(B78,"mmmm")</f>
        <v>September</v>
      </c>
      <c r="O78" s="1" t="str">
        <f>IF(J78&gt;=100000,"Excellent", IF(J78&gt;=50000,"Good","Average"))</f>
        <v>Excellent</v>
      </c>
      <c r="P78" s="1">
        <f>(H78*G78)*(I78/100)</f>
        <v>5400</v>
      </c>
      <c r="Q78" s="1">
        <f ca="1">J78-Q78</f>
        <v>0</v>
      </c>
    </row>
    <row r="79" spans="1:17" x14ac:dyDescent="0.25">
      <c r="A79" s="1">
        <v>1330</v>
      </c>
      <c r="B79" s="1" t="s">
        <v>106</v>
      </c>
      <c r="C79" s="1" t="s">
        <v>45</v>
      </c>
      <c r="D79" s="1" t="s">
        <v>17</v>
      </c>
      <c r="E79" s="1" t="s">
        <v>23</v>
      </c>
      <c r="F79" s="1" t="s">
        <v>24</v>
      </c>
      <c r="G79" s="1">
        <v>9</v>
      </c>
      <c r="H79" s="1">
        <v>12000</v>
      </c>
      <c r="I79" s="1">
        <v>5</v>
      </c>
      <c r="J79" s="1">
        <v>102600</v>
      </c>
      <c r="K79" s="1">
        <v>22310.25</v>
      </c>
      <c r="L79" s="1" t="str">
        <f>IF(K79&gt;=15000,"High Profit","Low Profit")</f>
        <v>High Profit</v>
      </c>
      <c r="M79" s="1">
        <f>YEAR(B79)</f>
        <v>2026</v>
      </c>
      <c r="N79" s="1" t="str">
        <f>TEXT(B79,"mmmm")</f>
        <v>May</v>
      </c>
      <c r="O79" s="1" t="str">
        <f>IF(J79&gt;=100000,"Excellent", IF(J79&gt;=50000,"Good","Average"))</f>
        <v>Excellent</v>
      </c>
      <c r="P79" s="1">
        <f>(H79*G79)*(I79/100)</f>
        <v>5400</v>
      </c>
      <c r="Q79" s="1">
        <f ca="1">J79-Q79</f>
        <v>0</v>
      </c>
    </row>
    <row r="80" spans="1:17" x14ac:dyDescent="0.25">
      <c r="A80" s="1">
        <v>1344</v>
      </c>
      <c r="B80" s="1" t="s">
        <v>283</v>
      </c>
      <c r="C80" s="1" t="s">
        <v>32</v>
      </c>
      <c r="D80" s="1" t="s">
        <v>13</v>
      </c>
      <c r="E80" s="1" t="s">
        <v>23</v>
      </c>
      <c r="F80" s="1" t="s">
        <v>24</v>
      </c>
      <c r="G80" s="1">
        <v>9</v>
      </c>
      <c r="H80" s="1">
        <v>12000</v>
      </c>
      <c r="I80" s="1">
        <v>5</v>
      </c>
      <c r="J80" s="1">
        <v>102600</v>
      </c>
      <c r="K80" s="1">
        <v>9444.73</v>
      </c>
      <c r="L80" s="1" t="str">
        <f>IF(K80&gt;=15000,"High Profit","Low Profit")</f>
        <v>Low Profit</v>
      </c>
      <c r="M80" s="1">
        <f>YEAR(B80)</f>
        <v>2025</v>
      </c>
      <c r="N80" s="1" t="str">
        <f>TEXT(B80,"mmmm")</f>
        <v>December</v>
      </c>
      <c r="O80" s="1" t="str">
        <f>IF(J80&gt;=100000,"Excellent", IF(J80&gt;=50000,"Good","Average"))</f>
        <v>Excellent</v>
      </c>
      <c r="P80" s="1">
        <f>(H80*G80)*(I80/100)</f>
        <v>5400</v>
      </c>
      <c r="Q80" s="1">
        <f ca="1">J80-Q80</f>
        <v>0</v>
      </c>
    </row>
    <row r="81" spans="1:17" x14ac:dyDescent="0.25">
      <c r="A81" s="1">
        <v>1348</v>
      </c>
      <c r="B81" s="1" t="s">
        <v>284</v>
      </c>
      <c r="C81" s="1" t="s">
        <v>12</v>
      </c>
      <c r="D81" s="1" t="s">
        <v>22</v>
      </c>
      <c r="E81" s="1" t="s">
        <v>23</v>
      </c>
      <c r="F81" s="1" t="s">
        <v>24</v>
      </c>
      <c r="G81" s="1">
        <v>9</v>
      </c>
      <c r="H81" s="1">
        <v>12000</v>
      </c>
      <c r="I81" s="1">
        <v>5</v>
      </c>
      <c r="J81" s="1">
        <v>102600</v>
      </c>
      <c r="K81" s="1">
        <v>25061.79</v>
      </c>
      <c r="L81" s="1" t="str">
        <f>IF(K81&gt;=15000,"High Profit","Low Profit")</f>
        <v>High Profit</v>
      </c>
      <c r="M81" s="1">
        <f>YEAR(B81)</f>
        <v>2025</v>
      </c>
      <c r="N81" s="1" t="str">
        <f>TEXT(B81,"mmmm")</f>
        <v>June</v>
      </c>
      <c r="O81" s="1" t="str">
        <f>IF(J81&gt;=100000,"Excellent", IF(J81&gt;=50000,"Good","Average"))</f>
        <v>Excellent</v>
      </c>
      <c r="P81" s="1">
        <f>(H81*G81)*(I81/100)</f>
        <v>5400</v>
      </c>
      <c r="Q81" s="1">
        <f ca="1">J81-Q81</f>
        <v>0</v>
      </c>
    </row>
    <row r="82" spans="1:17" x14ac:dyDescent="0.25">
      <c r="A82" s="1">
        <v>1495</v>
      </c>
      <c r="B82" s="1" t="s">
        <v>59</v>
      </c>
      <c r="C82" s="1" t="s">
        <v>41</v>
      </c>
      <c r="D82" s="1" t="s">
        <v>13</v>
      </c>
      <c r="E82" s="1" t="s">
        <v>23</v>
      </c>
      <c r="F82" s="1" t="s">
        <v>24</v>
      </c>
      <c r="G82" s="1">
        <v>9</v>
      </c>
      <c r="H82" s="1">
        <v>12000</v>
      </c>
      <c r="I82" s="1">
        <v>5</v>
      </c>
      <c r="J82" s="1">
        <v>102600</v>
      </c>
      <c r="K82" s="1">
        <v>9412.16</v>
      </c>
      <c r="L82" s="1" t="str">
        <f>IF(K82&gt;=15000,"High Profit","Low Profit")</f>
        <v>Low Profit</v>
      </c>
      <c r="M82" s="1">
        <f>YEAR(B82)</f>
        <v>2025</v>
      </c>
      <c r="N82" s="1" t="str">
        <f>TEXT(B82,"mmmm")</f>
        <v>May</v>
      </c>
      <c r="O82" s="1" t="str">
        <f>IF(J82&gt;=100000,"Excellent", IF(J82&gt;=50000,"Good","Average"))</f>
        <v>Excellent</v>
      </c>
      <c r="P82" s="1">
        <f>(H82*G82)*(I82/100)</f>
        <v>5400</v>
      </c>
      <c r="Q82" s="1">
        <f ca="1">J82-Q82</f>
        <v>0</v>
      </c>
    </row>
    <row r="83" spans="1:17" x14ac:dyDescent="0.25">
      <c r="A83" s="1">
        <v>1352</v>
      </c>
      <c r="B83" s="1" t="s">
        <v>75</v>
      </c>
      <c r="C83" s="1" t="s">
        <v>36</v>
      </c>
      <c r="D83" s="1" t="s">
        <v>17</v>
      </c>
      <c r="E83" s="1" t="s">
        <v>34</v>
      </c>
      <c r="F83" s="1" t="s">
        <v>24</v>
      </c>
      <c r="G83" s="1">
        <v>2</v>
      </c>
      <c r="H83" s="1">
        <v>55000</v>
      </c>
      <c r="I83" s="1">
        <v>10</v>
      </c>
      <c r="J83" s="1">
        <v>99000</v>
      </c>
      <c r="K83" s="1">
        <v>13738.93</v>
      </c>
      <c r="L83" s="1" t="str">
        <f>IF(K83&gt;=15000,"High Profit","Low Profit")</f>
        <v>Low Profit</v>
      </c>
      <c r="M83" s="1">
        <f>YEAR(B83)</f>
        <v>2026</v>
      </c>
      <c r="N83" s="1" t="str">
        <f>TEXT(B83,"mmmm")</f>
        <v>January</v>
      </c>
      <c r="O83" s="1" t="str">
        <f>IF(J83&gt;=100000,"Excellent", IF(J83&gt;=50000,"Good","Average"))</f>
        <v>Good</v>
      </c>
      <c r="P83" s="1">
        <f>(H83*G83)*(I83/100)</f>
        <v>11000</v>
      </c>
      <c r="Q83" s="1">
        <f ca="1">J83-Q83</f>
        <v>0</v>
      </c>
    </row>
    <row r="84" spans="1:17" x14ac:dyDescent="0.25">
      <c r="A84" s="1">
        <v>1110</v>
      </c>
      <c r="B84" s="1" t="s">
        <v>133</v>
      </c>
      <c r="C84" s="1" t="s">
        <v>47</v>
      </c>
      <c r="D84" s="1" t="s">
        <v>13</v>
      </c>
      <c r="E84" s="1" t="s">
        <v>23</v>
      </c>
      <c r="F84" s="1" t="s">
        <v>24</v>
      </c>
      <c r="G84" s="1">
        <v>9</v>
      </c>
      <c r="H84" s="1">
        <v>12000</v>
      </c>
      <c r="I84" s="1">
        <v>10</v>
      </c>
      <c r="J84" s="1">
        <v>97200</v>
      </c>
      <c r="K84" s="1">
        <v>15790.9</v>
      </c>
      <c r="L84" s="1" t="str">
        <f>IF(K84&gt;=15000,"High Profit","Low Profit")</f>
        <v>High Profit</v>
      </c>
      <c r="M84" s="1">
        <f>YEAR(B84)</f>
        <v>2026</v>
      </c>
      <c r="N84" s="1" t="str">
        <f>TEXT(B84,"mmmm")</f>
        <v>January</v>
      </c>
      <c r="O84" s="1" t="str">
        <f>IF(J84&gt;=100000,"Excellent", IF(J84&gt;=50000,"Good","Average"))</f>
        <v>Good</v>
      </c>
      <c r="P84" s="1">
        <f>(H84*G84)*(I84/100)</f>
        <v>10800</v>
      </c>
      <c r="Q84" s="1">
        <f ca="1">J84-Q84</f>
        <v>0</v>
      </c>
    </row>
    <row r="85" spans="1:17" x14ac:dyDescent="0.25">
      <c r="A85" s="1">
        <v>1137</v>
      </c>
      <c r="B85" s="1" t="s">
        <v>155</v>
      </c>
      <c r="C85" s="1" t="s">
        <v>39</v>
      </c>
      <c r="D85" s="1" t="s">
        <v>13</v>
      </c>
      <c r="E85" s="1" t="s">
        <v>23</v>
      </c>
      <c r="F85" s="1" t="s">
        <v>24</v>
      </c>
      <c r="G85" s="1">
        <v>9</v>
      </c>
      <c r="H85" s="1">
        <v>12000</v>
      </c>
      <c r="I85" s="1">
        <v>10</v>
      </c>
      <c r="J85" s="1">
        <v>97200</v>
      </c>
      <c r="K85" s="1">
        <v>10647.39</v>
      </c>
      <c r="L85" s="1" t="str">
        <f>IF(K85&gt;=15000,"High Profit","Low Profit")</f>
        <v>Low Profit</v>
      </c>
      <c r="M85" s="1">
        <f>YEAR(B85)</f>
        <v>2025</v>
      </c>
      <c r="N85" s="1" t="str">
        <f>TEXT(B85,"mmmm")</f>
        <v>October</v>
      </c>
      <c r="O85" s="1" t="str">
        <f>IF(J85&gt;=100000,"Excellent", IF(J85&gt;=50000,"Good","Average"))</f>
        <v>Good</v>
      </c>
      <c r="P85" s="1">
        <f>(H85*G85)*(I85/100)</f>
        <v>10800</v>
      </c>
      <c r="Q85" s="1">
        <f ca="1">J85-Q85</f>
        <v>0</v>
      </c>
    </row>
    <row r="86" spans="1:17" x14ac:dyDescent="0.25">
      <c r="A86" s="1">
        <v>1342</v>
      </c>
      <c r="B86" s="1" t="s">
        <v>228</v>
      </c>
      <c r="C86" s="1" t="s">
        <v>36</v>
      </c>
      <c r="D86" s="1" t="s">
        <v>17</v>
      </c>
      <c r="E86" s="1" t="s">
        <v>23</v>
      </c>
      <c r="F86" s="1" t="s">
        <v>24</v>
      </c>
      <c r="G86" s="1">
        <v>9</v>
      </c>
      <c r="H86" s="1">
        <v>12000</v>
      </c>
      <c r="I86" s="1">
        <v>10</v>
      </c>
      <c r="J86" s="1">
        <v>97200</v>
      </c>
      <c r="K86" s="1">
        <v>15253.4</v>
      </c>
      <c r="L86" s="1" t="str">
        <f>IF(K86&gt;=15000,"High Profit","Low Profit")</f>
        <v>High Profit</v>
      </c>
      <c r="M86" s="1">
        <f>YEAR(B86)</f>
        <v>2026</v>
      </c>
      <c r="N86" s="1" t="str">
        <f>TEXT(B86,"mmmm")</f>
        <v>January</v>
      </c>
      <c r="O86" s="1" t="str">
        <f>IF(J86&gt;=100000,"Excellent", IF(J86&gt;=50000,"Good","Average"))</f>
        <v>Good</v>
      </c>
      <c r="P86" s="1">
        <f>(H86*G86)*(I86/100)</f>
        <v>10800</v>
      </c>
      <c r="Q86" s="1">
        <f ca="1">J86-Q86</f>
        <v>0</v>
      </c>
    </row>
    <row r="87" spans="1:17" x14ac:dyDescent="0.25">
      <c r="A87" s="1">
        <v>1095</v>
      </c>
      <c r="B87" s="1" t="s">
        <v>119</v>
      </c>
      <c r="C87" s="1" t="s">
        <v>45</v>
      </c>
      <c r="D87" s="1" t="s">
        <v>27</v>
      </c>
      <c r="E87" s="1" t="s">
        <v>23</v>
      </c>
      <c r="F87" s="1" t="s">
        <v>24</v>
      </c>
      <c r="G87" s="1">
        <v>10</v>
      </c>
      <c r="H87" s="1">
        <v>12000</v>
      </c>
      <c r="I87" s="1">
        <v>20</v>
      </c>
      <c r="J87" s="1">
        <v>96000</v>
      </c>
      <c r="K87" s="1">
        <v>17174.810000000001</v>
      </c>
      <c r="L87" s="1" t="str">
        <f>IF(K87&gt;=15000,"High Profit","Low Profit")</f>
        <v>High Profit</v>
      </c>
      <c r="M87" s="1">
        <f>YEAR(B87)</f>
        <v>2026</v>
      </c>
      <c r="N87" s="1" t="str">
        <f>TEXT(B87,"mmmm")</f>
        <v>January</v>
      </c>
      <c r="O87" s="1" t="str">
        <f>IF(J87&gt;=100000,"Excellent", IF(J87&gt;=50000,"Good","Average"))</f>
        <v>Good</v>
      </c>
      <c r="P87" s="1">
        <f>(H87*G87)*(I87/100)</f>
        <v>24000</v>
      </c>
      <c r="Q87" s="1">
        <f ca="1">J87-Q87</f>
        <v>0</v>
      </c>
    </row>
    <row r="88" spans="1:17" x14ac:dyDescent="0.25">
      <c r="A88" s="1">
        <v>1130</v>
      </c>
      <c r="B88" s="1" t="s">
        <v>149</v>
      </c>
      <c r="C88" s="1" t="s">
        <v>26</v>
      </c>
      <c r="D88" s="1" t="s">
        <v>27</v>
      </c>
      <c r="E88" s="1" t="s">
        <v>23</v>
      </c>
      <c r="F88" s="1" t="s">
        <v>24</v>
      </c>
      <c r="G88" s="1">
        <v>8</v>
      </c>
      <c r="H88" s="1">
        <v>12000</v>
      </c>
      <c r="I88" s="1">
        <v>0</v>
      </c>
      <c r="J88" s="1">
        <v>96000</v>
      </c>
      <c r="K88" s="1">
        <v>11440.22</v>
      </c>
      <c r="L88" s="1" t="str">
        <f>IF(K88&gt;=15000,"High Profit","Low Profit")</f>
        <v>Low Profit</v>
      </c>
      <c r="M88" s="1">
        <f>YEAR(B88)</f>
        <v>2026</v>
      </c>
      <c r="N88" s="1" t="str">
        <f>TEXT(B88,"mmmm")</f>
        <v>January</v>
      </c>
      <c r="O88" s="1" t="str">
        <f>IF(J88&gt;=100000,"Excellent", IF(J88&gt;=50000,"Good","Average"))</f>
        <v>Good</v>
      </c>
      <c r="P88" s="1">
        <f>(H88*G88)*(I88/100)</f>
        <v>0</v>
      </c>
      <c r="Q88" s="1">
        <f ca="1">J88-Q88</f>
        <v>0</v>
      </c>
    </row>
    <row r="89" spans="1:17" x14ac:dyDescent="0.25">
      <c r="A89" s="1">
        <v>1302</v>
      </c>
      <c r="B89" s="1" t="s">
        <v>160</v>
      </c>
      <c r="C89" s="1" t="s">
        <v>26</v>
      </c>
      <c r="D89" s="1" t="s">
        <v>17</v>
      </c>
      <c r="E89" s="1" t="s">
        <v>23</v>
      </c>
      <c r="F89" s="1" t="s">
        <v>24</v>
      </c>
      <c r="G89" s="1">
        <v>8</v>
      </c>
      <c r="H89" s="1">
        <v>12000</v>
      </c>
      <c r="I89" s="1">
        <v>0</v>
      </c>
      <c r="J89" s="1">
        <v>96000</v>
      </c>
      <c r="K89" s="1">
        <v>10275.94</v>
      </c>
      <c r="L89" s="1" t="str">
        <f>IF(K89&gt;=15000,"High Profit","Low Profit")</f>
        <v>Low Profit</v>
      </c>
      <c r="M89" s="1">
        <f>YEAR(B89)</f>
        <v>2025</v>
      </c>
      <c r="N89" s="1" t="str">
        <f>TEXT(B89,"mmmm")</f>
        <v>September</v>
      </c>
      <c r="O89" s="1" t="str">
        <f>IF(J89&gt;=100000,"Excellent", IF(J89&gt;=50000,"Good","Average"))</f>
        <v>Good</v>
      </c>
      <c r="P89" s="1">
        <f>(H89*G89)*(I89/100)</f>
        <v>0</v>
      </c>
      <c r="Q89" s="1">
        <f ca="1">J89-Q89</f>
        <v>0</v>
      </c>
    </row>
    <row r="90" spans="1:17" x14ac:dyDescent="0.25">
      <c r="A90" s="1">
        <v>1126</v>
      </c>
      <c r="B90" s="1" t="s">
        <v>146</v>
      </c>
      <c r="C90" s="1" t="s">
        <v>45</v>
      </c>
      <c r="D90" s="1" t="s">
        <v>22</v>
      </c>
      <c r="E90" s="1" t="s">
        <v>34</v>
      </c>
      <c r="F90" s="1" t="s">
        <v>24</v>
      </c>
      <c r="G90" s="1">
        <v>2</v>
      </c>
      <c r="H90" s="1">
        <v>55000</v>
      </c>
      <c r="I90" s="1">
        <v>15</v>
      </c>
      <c r="J90" s="1">
        <v>93500</v>
      </c>
      <c r="K90" s="1">
        <v>17801.830000000002</v>
      </c>
      <c r="L90" s="1" t="str">
        <f>IF(K90&gt;=15000,"High Profit","Low Profit")</f>
        <v>High Profit</v>
      </c>
      <c r="M90" s="1">
        <f>YEAR(B90)</f>
        <v>2026</v>
      </c>
      <c r="N90" s="1" t="str">
        <f>TEXT(B90,"mmmm")</f>
        <v>May</v>
      </c>
      <c r="O90" s="1" t="str">
        <f>IF(J90&gt;=100000,"Excellent", IF(J90&gt;=50000,"Good","Average"))</f>
        <v>Good</v>
      </c>
      <c r="P90" s="1">
        <f>(H90*G90)*(I90/100)</f>
        <v>16500</v>
      </c>
      <c r="Q90" s="1">
        <f ca="1">J90-Q90</f>
        <v>0</v>
      </c>
    </row>
    <row r="91" spans="1:17" x14ac:dyDescent="0.25">
      <c r="A91" s="1">
        <v>1223</v>
      </c>
      <c r="B91" s="1" t="s">
        <v>214</v>
      </c>
      <c r="C91" s="1" t="s">
        <v>45</v>
      </c>
      <c r="D91" s="1" t="s">
        <v>22</v>
      </c>
      <c r="E91" s="1" t="s">
        <v>34</v>
      </c>
      <c r="F91" s="1" t="s">
        <v>24</v>
      </c>
      <c r="G91" s="1">
        <v>2</v>
      </c>
      <c r="H91" s="1">
        <v>55000</v>
      </c>
      <c r="I91" s="1">
        <v>15</v>
      </c>
      <c r="J91" s="1">
        <v>93500</v>
      </c>
      <c r="K91" s="1">
        <v>10110.719999999999</v>
      </c>
      <c r="L91" s="1" t="str">
        <f>IF(K91&gt;=15000,"High Profit","Low Profit")</f>
        <v>Low Profit</v>
      </c>
      <c r="M91" s="1">
        <f>YEAR(B91)</f>
        <v>2025</v>
      </c>
      <c r="N91" s="1" t="str">
        <f>TEXT(B91,"mmmm")</f>
        <v>May</v>
      </c>
      <c r="O91" s="1" t="str">
        <f>IF(J91&gt;=100000,"Excellent", IF(J91&gt;=50000,"Good","Average"))</f>
        <v>Good</v>
      </c>
      <c r="P91" s="1">
        <f>(H91*G91)*(I91/100)</f>
        <v>16500</v>
      </c>
      <c r="Q91" s="1">
        <f ca="1">J91-Q91</f>
        <v>0</v>
      </c>
    </row>
    <row r="92" spans="1:17" x14ac:dyDescent="0.25">
      <c r="A92" s="1">
        <v>1244</v>
      </c>
      <c r="B92" s="1" t="s">
        <v>228</v>
      </c>
      <c r="C92" s="1" t="s">
        <v>45</v>
      </c>
      <c r="D92" s="1" t="s">
        <v>13</v>
      </c>
      <c r="E92" s="1" t="s">
        <v>34</v>
      </c>
      <c r="F92" s="1" t="s">
        <v>24</v>
      </c>
      <c r="G92" s="1">
        <v>2</v>
      </c>
      <c r="H92" s="1">
        <v>55000</v>
      </c>
      <c r="I92" s="1">
        <v>15</v>
      </c>
      <c r="J92" s="1">
        <v>93500</v>
      </c>
      <c r="K92" s="1">
        <v>21754.78</v>
      </c>
      <c r="L92" s="1" t="str">
        <f>IF(K92&gt;=15000,"High Profit","Low Profit")</f>
        <v>High Profit</v>
      </c>
      <c r="M92" s="1">
        <f>YEAR(B92)</f>
        <v>2026</v>
      </c>
      <c r="N92" s="1" t="str">
        <f>TEXT(B92,"mmmm")</f>
        <v>January</v>
      </c>
      <c r="O92" s="1" t="str">
        <f>IF(J92&gt;=100000,"Excellent", IF(J92&gt;=50000,"Good","Average"))</f>
        <v>Good</v>
      </c>
      <c r="P92" s="1">
        <f>(H92*G92)*(I92/100)</f>
        <v>16500</v>
      </c>
      <c r="Q92" s="1">
        <f ca="1">J92-Q92</f>
        <v>0</v>
      </c>
    </row>
    <row r="93" spans="1:17" x14ac:dyDescent="0.25">
      <c r="A93" s="1">
        <v>1379</v>
      </c>
      <c r="B93" s="1" t="s">
        <v>300</v>
      </c>
      <c r="C93" s="1" t="s">
        <v>21</v>
      </c>
      <c r="D93" s="1" t="s">
        <v>17</v>
      </c>
      <c r="E93" s="1" t="s">
        <v>23</v>
      </c>
      <c r="F93" s="1" t="s">
        <v>24</v>
      </c>
      <c r="G93" s="1">
        <v>9</v>
      </c>
      <c r="H93" s="1">
        <v>12000</v>
      </c>
      <c r="I93" s="1">
        <v>15</v>
      </c>
      <c r="J93" s="1">
        <v>91800</v>
      </c>
      <c r="K93" s="1">
        <v>12222.5</v>
      </c>
      <c r="L93" s="1" t="str">
        <f>IF(K93&gt;=15000,"High Profit","Low Profit")</f>
        <v>Low Profit</v>
      </c>
      <c r="M93" s="1">
        <f>YEAR(B93)</f>
        <v>2025</v>
      </c>
      <c r="N93" s="1" t="str">
        <f>TEXT(B93,"mmmm")</f>
        <v>March</v>
      </c>
      <c r="O93" s="1" t="str">
        <f>IF(J93&gt;=100000,"Excellent", IF(J93&gt;=50000,"Good","Average"))</f>
        <v>Good</v>
      </c>
      <c r="P93" s="1">
        <f>(H93*G93)*(I93/100)</f>
        <v>16200</v>
      </c>
      <c r="Q93" s="1">
        <f ca="1">J93-Q93</f>
        <v>0</v>
      </c>
    </row>
    <row r="94" spans="1:17" x14ac:dyDescent="0.25">
      <c r="A94" s="1">
        <v>1400</v>
      </c>
      <c r="B94" s="1" t="s">
        <v>307</v>
      </c>
      <c r="C94" s="1" t="s">
        <v>32</v>
      </c>
      <c r="D94" s="1" t="s">
        <v>13</v>
      </c>
      <c r="E94" s="1" t="s">
        <v>23</v>
      </c>
      <c r="F94" s="1" t="s">
        <v>24</v>
      </c>
      <c r="G94" s="1">
        <v>8</v>
      </c>
      <c r="H94" s="1">
        <v>12000</v>
      </c>
      <c r="I94" s="1">
        <v>5</v>
      </c>
      <c r="J94" s="1">
        <v>91200</v>
      </c>
      <c r="K94" s="1">
        <v>14584.49</v>
      </c>
      <c r="L94" s="1" t="str">
        <f>IF(K94&gt;=15000,"High Profit","Low Profit")</f>
        <v>Low Profit</v>
      </c>
      <c r="M94" s="1">
        <f>YEAR(B94)</f>
        <v>2026</v>
      </c>
      <c r="N94" s="1" t="str">
        <f>TEXT(B94,"mmmm")</f>
        <v>March</v>
      </c>
      <c r="O94" s="1" t="str">
        <f>IF(J94&gt;=100000,"Excellent", IF(J94&gt;=50000,"Good","Average"))</f>
        <v>Good</v>
      </c>
      <c r="P94" s="1">
        <f>(H94*G94)*(I94/100)</f>
        <v>4800</v>
      </c>
      <c r="Q94" s="1">
        <f ca="1">J94-Q94</f>
        <v>0</v>
      </c>
    </row>
    <row r="95" spans="1:17" x14ac:dyDescent="0.25">
      <c r="A95" s="1">
        <v>1019</v>
      </c>
      <c r="B95" s="1" t="s">
        <v>50</v>
      </c>
      <c r="C95" s="1" t="s">
        <v>45</v>
      </c>
      <c r="D95" s="1" t="s">
        <v>22</v>
      </c>
      <c r="E95" s="1" t="s">
        <v>43</v>
      </c>
      <c r="F95" s="1" t="s">
        <v>24</v>
      </c>
      <c r="G95" s="1">
        <v>10</v>
      </c>
      <c r="H95" s="1">
        <v>9000</v>
      </c>
      <c r="I95" s="1">
        <v>0</v>
      </c>
      <c r="J95" s="1">
        <v>90000</v>
      </c>
      <c r="K95" s="1">
        <v>14385.52</v>
      </c>
      <c r="L95" s="1" t="str">
        <f>IF(K95&gt;=15000,"High Profit","Low Profit")</f>
        <v>Low Profit</v>
      </c>
      <c r="M95" s="1">
        <f>YEAR(B95)</f>
        <v>2026</v>
      </c>
      <c r="N95" s="1" t="str">
        <f>TEXT(B95,"mmmm")</f>
        <v>January</v>
      </c>
      <c r="O95" s="1" t="str">
        <f>IF(J95&gt;=100000,"Excellent", IF(J95&gt;=50000,"Good","Average"))</f>
        <v>Good</v>
      </c>
      <c r="P95" s="1">
        <f>(H95*G95)*(I95/100)</f>
        <v>0</v>
      </c>
      <c r="Q95" s="1">
        <f ca="1">J95-Q95</f>
        <v>0</v>
      </c>
    </row>
    <row r="96" spans="1:17" x14ac:dyDescent="0.25">
      <c r="A96" s="1">
        <v>1249</v>
      </c>
      <c r="B96" s="1" t="s">
        <v>233</v>
      </c>
      <c r="C96" s="1" t="s">
        <v>41</v>
      </c>
      <c r="D96" s="1" t="s">
        <v>22</v>
      </c>
      <c r="E96" s="1" t="s">
        <v>43</v>
      </c>
      <c r="F96" s="1" t="s">
        <v>24</v>
      </c>
      <c r="G96" s="1">
        <v>10</v>
      </c>
      <c r="H96" s="1">
        <v>9000</v>
      </c>
      <c r="I96" s="1">
        <v>0</v>
      </c>
      <c r="J96" s="1">
        <v>90000</v>
      </c>
      <c r="K96" s="1">
        <v>13485.82</v>
      </c>
      <c r="L96" s="1" t="str">
        <f>IF(K96&gt;=15000,"High Profit","Low Profit")</f>
        <v>Low Profit</v>
      </c>
      <c r="M96" s="1">
        <f>YEAR(B96)</f>
        <v>2025</v>
      </c>
      <c r="N96" s="1" t="str">
        <f>TEXT(B96,"mmmm")</f>
        <v>July</v>
      </c>
      <c r="O96" s="1" t="str">
        <f>IF(J96&gt;=100000,"Excellent", IF(J96&gt;=50000,"Good","Average"))</f>
        <v>Good</v>
      </c>
      <c r="P96" s="1">
        <f>(H96*G96)*(I96/100)</f>
        <v>0</v>
      </c>
      <c r="Q96" s="1">
        <f ca="1">J96-Q96</f>
        <v>0</v>
      </c>
    </row>
    <row r="97" spans="1:17" x14ac:dyDescent="0.25">
      <c r="A97" s="1">
        <v>1105</v>
      </c>
      <c r="B97" s="1" t="s">
        <v>128</v>
      </c>
      <c r="C97" s="1" t="s">
        <v>21</v>
      </c>
      <c r="D97" s="1" t="s">
        <v>27</v>
      </c>
      <c r="E97" s="1" t="s">
        <v>34</v>
      </c>
      <c r="F97" s="1" t="s">
        <v>24</v>
      </c>
      <c r="G97" s="1">
        <v>2</v>
      </c>
      <c r="H97" s="1">
        <v>55000</v>
      </c>
      <c r="I97" s="1">
        <v>20</v>
      </c>
      <c r="J97" s="1">
        <v>88000</v>
      </c>
      <c r="K97" s="1">
        <v>10362.1</v>
      </c>
      <c r="L97" s="1" t="str">
        <f>IF(K97&gt;=15000,"High Profit","Low Profit")</f>
        <v>Low Profit</v>
      </c>
      <c r="M97" s="1">
        <f>YEAR(B97)</f>
        <v>2025</v>
      </c>
      <c r="N97" s="1" t="str">
        <f>TEXT(B97,"mmmm")</f>
        <v>September</v>
      </c>
      <c r="O97" s="1" t="str">
        <f>IF(J97&gt;=100000,"Excellent", IF(J97&gt;=50000,"Good","Average"))</f>
        <v>Good</v>
      </c>
      <c r="P97" s="1">
        <f>(H97*G97)*(I97/100)</f>
        <v>22000</v>
      </c>
      <c r="Q97" s="1">
        <f ca="1">J97-Q97</f>
        <v>0</v>
      </c>
    </row>
    <row r="98" spans="1:17" x14ac:dyDescent="0.25">
      <c r="A98" s="1">
        <v>1008</v>
      </c>
      <c r="B98" s="1" t="s">
        <v>35</v>
      </c>
      <c r="C98" s="1" t="s">
        <v>30</v>
      </c>
      <c r="D98" s="1" t="s">
        <v>13</v>
      </c>
      <c r="E98" s="1" t="s">
        <v>23</v>
      </c>
      <c r="F98" s="1" t="s">
        <v>24</v>
      </c>
      <c r="G98" s="1">
        <v>8</v>
      </c>
      <c r="H98" s="1">
        <v>12000</v>
      </c>
      <c r="I98" s="1">
        <v>10</v>
      </c>
      <c r="J98" s="1">
        <v>86400</v>
      </c>
      <c r="K98" s="1">
        <v>16894.59</v>
      </c>
      <c r="L98" s="1" t="str">
        <f>IF(K98&gt;=15000,"High Profit","Low Profit")</f>
        <v>High Profit</v>
      </c>
      <c r="M98" s="1">
        <f>YEAR(B98)</f>
        <v>2025</v>
      </c>
      <c r="N98" s="1" t="str">
        <f>TEXT(B98,"mmmm")</f>
        <v>April</v>
      </c>
      <c r="O98" s="1" t="str">
        <f>IF(J98&gt;=100000,"Excellent", IF(J98&gt;=50000,"Good","Average"))</f>
        <v>Good</v>
      </c>
      <c r="P98" s="1">
        <f>(H98*G98)*(I98/100)</f>
        <v>9600</v>
      </c>
      <c r="Q98" s="1">
        <f ca="1">J98-Q98</f>
        <v>0</v>
      </c>
    </row>
    <row r="99" spans="1:17" x14ac:dyDescent="0.25">
      <c r="A99" s="1">
        <v>1146</v>
      </c>
      <c r="B99" s="1" t="s">
        <v>161</v>
      </c>
      <c r="C99" s="1" t="s">
        <v>30</v>
      </c>
      <c r="D99" s="1" t="s">
        <v>17</v>
      </c>
      <c r="E99" s="1" t="s">
        <v>23</v>
      </c>
      <c r="F99" s="1" t="s">
        <v>24</v>
      </c>
      <c r="G99" s="1">
        <v>8</v>
      </c>
      <c r="H99" s="1">
        <v>12000</v>
      </c>
      <c r="I99" s="1">
        <v>10</v>
      </c>
      <c r="J99" s="1">
        <v>86400</v>
      </c>
      <c r="K99" s="1">
        <v>12484.95</v>
      </c>
      <c r="L99" s="1" t="str">
        <f>IF(K99&gt;=15000,"High Profit","Low Profit")</f>
        <v>Low Profit</v>
      </c>
      <c r="M99" s="1">
        <f>YEAR(B99)</f>
        <v>2025</v>
      </c>
      <c r="N99" s="1" t="str">
        <f>TEXT(B99,"mmmm")</f>
        <v>March</v>
      </c>
      <c r="O99" s="1" t="str">
        <f>IF(J99&gt;=100000,"Excellent", IF(J99&gt;=50000,"Good","Average"))</f>
        <v>Good</v>
      </c>
      <c r="P99" s="1">
        <f>(H99*G99)*(I99/100)</f>
        <v>9600</v>
      </c>
      <c r="Q99" s="1">
        <f ca="1">J99-Q99</f>
        <v>0</v>
      </c>
    </row>
    <row r="100" spans="1:17" x14ac:dyDescent="0.25">
      <c r="A100" s="1">
        <v>1118</v>
      </c>
      <c r="B100" s="1" t="s">
        <v>141</v>
      </c>
      <c r="C100" s="1" t="s">
        <v>39</v>
      </c>
      <c r="D100" s="1" t="s">
        <v>22</v>
      </c>
      <c r="E100" s="1" t="s">
        <v>43</v>
      </c>
      <c r="F100" s="1" t="s">
        <v>24</v>
      </c>
      <c r="G100" s="1">
        <v>10</v>
      </c>
      <c r="H100" s="1">
        <v>9000</v>
      </c>
      <c r="I100" s="1">
        <v>5</v>
      </c>
      <c r="J100" s="1">
        <v>85500</v>
      </c>
      <c r="K100" s="1">
        <v>7405.86</v>
      </c>
      <c r="L100" s="1" t="str">
        <f>IF(K100&gt;=15000,"High Profit","Low Profit")</f>
        <v>Low Profit</v>
      </c>
      <c r="M100" s="1">
        <f>YEAR(B100)</f>
        <v>2025</v>
      </c>
      <c r="N100" s="1" t="str">
        <f>TEXT(B100,"mmmm")</f>
        <v>November</v>
      </c>
      <c r="O100" s="1" t="str">
        <f>IF(J100&gt;=100000,"Excellent", IF(J100&gt;=50000,"Good","Average"))</f>
        <v>Good</v>
      </c>
      <c r="P100" s="1">
        <f>(H100*G100)*(I100/100)</f>
        <v>4500</v>
      </c>
      <c r="Q100" s="1">
        <f ca="1">J100-Q100</f>
        <v>0</v>
      </c>
    </row>
    <row r="101" spans="1:17" x14ac:dyDescent="0.25">
      <c r="A101" s="1">
        <v>1392</v>
      </c>
      <c r="B101" s="1" t="s">
        <v>160</v>
      </c>
      <c r="C101" s="1" t="s">
        <v>26</v>
      </c>
      <c r="D101" s="1" t="s">
        <v>22</v>
      </c>
      <c r="E101" s="1" t="s">
        <v>23</v>
      </c>
      <c r="F101" s="1" t="s">
        <v>24</v>
      </c>
      <c r="G101" s="1">
        <v>7</v>
      </c>
      <c r="H101" s="1">
        <v>12000</v>
      </c>
      <c r="I101" s="1">
        <v>0</v>
      </c>
      <c r="J101" s="1">
        <v>84000</v>
      </c>
      <c r="K101" s="1">
        <v>20087.12</v>
      </c>
      <c r="L101" s="1" t="str">
        <f>IF(K101&gt;=15000,"High Profit","Low Profit")</f>
        <v>High Profit</v>
      </c>
      <c r="M101" s="1">
        <f>YEAR(B101)</f>
        <v>2025</v>
      </c>
      <c r="N101" s="1" t="str">
        <f>TEXT(B101,"mmmm")</f>
        <v>September</v>
      </c>
      <c r="O101" s="1" t="str">
        <f>IF(J101&gt;=100000,"Excellent", IF(J101&gt;=50000,"Good","Average"))</f>
        <v>Good</v>
      </c>
      <c r="P101" s="1">
        <f>(H101*G101)*(I101/100)</f>
        <v>0</v>
      </c>
      <c r="Q101" s="1">
        <f ca="1">J101-Q101</f>
        <v>0</v>
      </c>
    </row>
    <row r="102" spans="1:17" x14ac:dyDescent="0.25">
      <c r="A102" s="1">
        <v>1438</v>
      </c>
      <c r="B102" s="1" t="s">
        <v>272</v>
      </c>
      <c r="C102" s="1" t="s">
        <v>41</v>
      </c>
      <c r="D102" s="1" t="s">
        <v>27</v>
      </c>
      <c r="E102" s="1" t="s">
        <v>23</v>
      </c>
      <c r="F102" s="1" t="s">
        <v>24</v>
      </c>
      <c r="G102" s="1">
        <v>7</v>
      </c>
      <c r="H102" s="1">
        <v>12000</v>
      </c>
      <c r="I102" s="1">
        <v>0</v>
      </c>
      <c r="J102" s="1">
        <v>84000</v>
      </c>
      <c r="K102" s="1">
        <v>7932.61</v>
      </c>
      <c r="L102" s="1" t="str">
        <f>IF(K102&gt;=15000,"High Profit","Low Profit")</f>
        <v>Low Profit</v>
      </c>
      <c r="M102" s="1">
        <f>YEAR(B102)</f>
        <v>2025</v>
      </c>
      <c r="N102" s="1" t="str">
        <f>TEXT(B102,"mmmm")</f>
        <v>May</v>
      </c>
      <c r="O102" s="1" t="str">
        <f>IF(J102&gt;=100000,"Excellent", IF(J102&gt;=50000,"Good","Average"))</f>
        <v>Good</v>
      </c>
      <c r="P102" s="1">
        <f>(H102*G102)*(I102/100)</f>
        <v>0</v>
      </c>
      <c r="Q102" s="1">
        <f ca="1">J102-Q102</f>
        <v>0</v>
      </c>
    </row>
    <row r="103" spans="1:17" x14ac:dyDescent="0.25">
      <c r="A103" s="1">
        <v>1490</v>
      </c>
      <c r="B103" s="1" t="s">
        <v>344</v>
      </c>
      <c r="C103" s="1" t="s">
        <v>12</v>
      </c>
      <c r="D103" s="1" t="s">
        <v>13</v>
      </c>
      <c r="E103" s="1" t="s">
        <v>23</v>
      </c>
      <c r="F103" s="1" t="s">
        <v>24</v>
      </c>
      <c r="G103" s="1">
        <v>7</v>
      </c>
      <c r="H103" s="1">
        <v>12000</v>
      </c>
      <c r="I103" s="1">
        <v>0</v>
      </c>
      <c r="J103" s="1">
        <v>84000</v>
      </c>
      <c r="K103" s="1">
        <v>18157.62</v>
      </c>
      <c r="L103" s="1" t="str">
        <f>IF(K103&gt;=15000,"High Profit","Low Profit")</f>
        <v>High Profit</v>
      </c>
      <c r="M103" s="1">
        <f>YEAR(B103)</f>
        <v>2026</v>
      </c>
      <c r="N103" s="1" t="str">
        <f>TEXT(B103,"mmmm")</f>
        <v>May</v>
      </c>
      <c r="O103" s="1" t="str">
        <f>IF(J103&gt;=100000,"Excellent", IF(J103&gt;=50000,"Good","Average"))</f>
        <v>Good</v>
      </c>
      <c r="P103" s="1">
        <f>(H103*G103)*(I103/100)</f>
        <v>0</v>
      </c>
      <c r="Q103" s="1">
        <f ca="1">J103-Q103</f>
        <v>0</v>
      </c>
    </row>
    <row r="104" spans="1:17" x14ac:dyDescent="0.25">
      <c r="A104" s="1">
        <v>1458</v>
      </c>
      <c r="B104" s="1" t="s">
        <v>235</v>
      </c>
      <c r="C104" s="1" t="s">
        <v>26</v>
      </c>
      <c r="D104" s="1" t="s">
        <v>17</v>
      </c>
      <c r="E104" s="1" t="s">
        <v>43</v>
      </c>
      <c r="F104" s="1" t="s">
        <v>24</v>
      </c>
      <c r="G104" s="1">
        <v>9</v>
      </c>
      <c r="H104" s="1">
        <v>9000</v>
      </c>
      <c r="I104" s="1">
        <v>0</v>
      </c>
      <c r="J104" s="1">
        <v>81000</v>
      </c>
      <c r="K104" s="1">
        <v>9645.02</v>
      </c>
      <c r="L104" s="1" t="str">
        <f>IF(K104&gt;=15000,"High Profit","Low Profit")</f>
        <v>Low Profit</v>
      </c>
      <c r="M104" s="1">
        <f>YEAR(B104)</f>
        <v>2025</v>
      </c>
      <c r="N104" s="1" t="str">
        <f>TEXT(B104,"mmmm")</f>
        <v>February</v>
      </c>
      <c r="O104" s="1" t="str">
        <f>IF(J104&gt;=100000,"Excellent", IF(J104&gt;=50000,"Good","Average"))</f>
        <v>Good</v>
      </c>
      <c r="P104" s="1">
        <f>(H104*G104)*(I104/100)</f>
        <v>0</v>
      </c>
      <c r="Q104" s="1">
        <f ca="1">J104-Q104</f>
        <v>0</v>
      </c>
    </row>
    <row r="105" spans="1:17" x14ac:dyDescent="0.25">
      <c r="A105" s="1">
        <v>1311</v>
      </c>
      <c r="B105" s="1" t="s">
        <v>268</v>
      </c>
      <c r="C105" s="1" t="s">
        <v>21</v>
      </c>
      <c r="D105" s="1" t="s">
        <v>22</v>
      </c>
      <c r="E105" s="1" t="s">
        <v>23</v>
      </c>
      <c r="F105" s="1" t="s">
        <v>24</v>
      </c>
      <c r="G105" s="1">
        <v>7</v>
      </c>
      <c r="H105" s="1">
        <v>12000</v>
      </c>
      <c r="I105" s="1">
        <v>5</v>
      </c>
      <c r="J105" s="1">
        <v>79800</v>
      </c>
      <c r="K105" s="1">
        <v>8082.32</v>
      </c>
      <c r="L105" s="1" t="str">
        <f>IF(K105&gt;=15000,"High Profit","Low Profit")</f>
        <v>Low Profit</v>
      </c>
      <c r="M105" s="1">
        <f>YEAR(B105)</f>
        <v>2026</v>
      </c>
      <c r="N105" s="1" t="str">
        <f>TEXT(B105,"mmmm")</f>
        <v>January</v>
      </c>
      <c r="O105" s="1" t="str">
        <f>IF(J105&gt;=100000,"Excellent", IF(J105&gt;=50000,"Good","Average"))</f>
        <v>Good</v>
      </c>
      <c r="P105" s="1">
        <f>(H105*G105)*(I105/100)</f>
        <v>4200</v>
      </c>
      <c r="Q105" s="1">
        <f ca="1">J105-Q105</f>
        <v>0</v>
      </c>
    </row>
    <row r="106" spans="1:17" x14ac:dyDescent="0.25">
      <c r="A106" s="1">
        <v>1138</v>
      </c>
      <c r="B106" s="1" t="s">
        <v>156</v>
      </c>
      <c r="C106" s="1" t="s">
        <v>30</v>
      </c>
      <c r="D106" s="1" t="s">
        <v>22</v>
      </c>
      <c r="E106" s="1" t="s">
        <v>43</v>
      </c>
      <c r="F106" s="1" t="s">
        <v>24</v>
      </c>
      <c r="G106" s="1">
        <v>9</v>
      </c>
      <c r="H106" s="1">
        <v>9000</v>
      </c>
      <c r="I106" s="1">
        <v>5</v>
      </c>
      <c r="J106" s="1">
        <v>76950</v>
      </c>
      <c r="K106" s="1">
        <v>9597.26</v>
      </c>
      <c r="L106" s="1" t="str">
        <f>IF(K106&gt;=15000,"High Profit","Low Profit")</f>
        <v>Low Profit</v>
      </c>
      <c r="M106" s="1">
        <f>YEAR(B106)</f>
        <v>2025</v>
      </c>
      <c r="N106" s="1" t="str">
        <f>TEXT(B106,"mmmm")</f>
        <v>November</v>
      </c>
      <c r="O106" s="1" t="str">
        <f>IF(J106&gt;=100000,"Excellent", IF(J106&gt;=50000,"Good","Average"))</f>
        <v>Good</v>
      </c>
      <c r="P106" s="1">
        <f>(H106*G106)*(I106/100)</f>
        <v>4050</v>
      </c>
      <c r="Q106" s="1">
        <f ca="1">J106-Q106</f>
        <v>0</v>
      </c>
    </row>
    <row r="107" spans="1:17" x14ac:dyDescent="0.25">
      <c r="A107" s="1">
        <v>1221</v>
      </c>
      <c r="B107" s="1" t="s">
        <v>29</v>
      </c>
      <c r="C107" s="1" t="s">
        <v>21</v>
      </c>
      <c r="D107" s="1" t="s">
        <v>13</v>
      </c>
      <c r="E107" s="1" t="s">
        <v>23</v>
      </c>
      <c r="F107" s="1" t="s">
        <v>24</v>
      </c>
      <c r="G107" s="1">
        <v>8</v>
      </c>
      <c r="H107" s="1">
        <v>12000</v>
      </c>
      <c r="I107" s="1">
        <v>20</v>
      </c>
      <c r="J107" s="1">
        <v>76800</v>
      </c>
      <c r="K107" s="1">
        <v>8524.59</v>
      </c>
      <c r="L107" s="1" t="str">
        <f>IF(K107&gt;=15000,"High Profit","Low Profit")</f>
        <v>Low Profit</v>
      </c>
      <c r="M107" s="1">
        <f>YEAR(B107)</f>
        <v>2025</v>
      </c>
      <c r="N107" s="1" t="str">
        <f>TEXT(B107,"mmmm")</f>
        <v>September</v>
      </c>
      <c r="O107" s="1" t="str">
        <f>IF(J107&gt;=100000,"Excellent", IF(J107&gt;=50000,"Good","Average"))</f>
        <v>Good</v>
      </c>
      <c r="P107" s="1">
        <f>(H107*G107)*(I107/100)</f>
        <v>19200</v>
      </c>
      <c r="Q107" s="1">
        <f ca="1">J107-Q107</f>
        <v>0</v>
      </c>
    </row>
    <row r="108" spans="1:17" x14ac:dyDescent="0.25">
      <c r="A108" s="1">
        <v>1092</v>
      </c>
      <c r="B108" s="1" t="s">
        <v>116</v>
      </c>
      <c r="C108" s="1" t="s">
        <v>39</v>
      </c>
      <c r="D108" s="1" t="s">
        <v>17</v>
      </c>
      <c r="E108" s="1" t="s">
        <v>43</v>
      </c>
      <c r="F108" s="1" t="s">
        <v>24</v>
      </c>
      <c r="G108" s="1">
        <v>10</v>
      </c>
      <c r="H108" s="1">
        <v>9000</v>
      </c>
      <c r="I108" s="1">
        <v>15</v>
      </c>
      <c r="J108" s="1">
        <v>76500</v>
      </c>
      <c r="K108" s="1">
        <v>9011.4500000000007</v>
      </c>
      <c r="L108" s="1" t="str">
        <f>IF(K108&gt;=15000,"High Profit","Low Profit")</f>
        <v>Low Profit</v>
      </c>
      <c r="M108" s="1">
        <f>YEAR(B108)</f>
        <v>2026</v>
      </c>
      <c r="N108" s="1" t="str">
        <f>TEXT(B108,"mmmm")</f>
        <v>March</v>
      </c>
      <c r="O108" s="1" t="str">
        <f>IF(J108&gt;=100000,"Excellent", IF(J108&gt;=50000,"Good","Average"))</f>
        <v>Good</v>
      </c>
      <c r="P108" s="1">
        <f>(H108*G108)*(I108/100)</f>
        <v>13500</v>
      </c>
      <c r="Q108" s="1">
        <f ca="1">J108-Q108</f>
        <v>0</v>
      </c>
    </row>
    <row r="109" spans="1:17" x14ac:dyDescent="0.25">
      <c r="A109" s="1">
        <v>1181</v>
      </c>
      <c r="B109" s="1" t="s">
        <v>153</v>
      </c>
      <c r="C109" s="1" t="s">
        <v>45</v>
      </c>
      <c r="D109" s="1" t="s">
        <v>22</v>
      </c>
      <c r="E109" s="1" t="s">
        <v>23</v>
      </c>
      <c r="F109" s="1" t="s">
        <v>24</v>
      </c>
      <c r="G109" s="1">
        <v>7</v>
      </c>
      <c r="H109" s="1">
        <v>12000</v>
      </c>
      <c r="I109" s="1">
        <v>10</v>
      </c>
      <c r="J109" s="1">
        <v>75600</v>
      </c>
      <c r="K109" s="1">
        <v>15976.93</v>
      </c>
      <c r="L109" s="1" t="str">
        <f>IF(K109&gt;=15000,"High Profit","Low Profit")</f>
        <v>High Profit</v>
      </c>
      <c r="M109" s="1">
        <f>YEAR(B109)</f>
        <v>2025</v>
      </c>
      <c r="N109" s="1" t="str">
        <f>TEXT(B109,"mmmm")</f>
        <v>May</v>
      </c>
      <c r="O109" s="1" t="str">
        <f>IF(J109&gt;=100000,"Excellent", IF(J109&gt;=50000,"Good","Average"))</f>
        <v>Good</v>
      </c>
      <c r="P109" s="1">
        <f>(H109*G109)*(I109/100)</f>
        <v>8400</v>
      </c>
      <c r="Q109" s="1">
        <f ca="1">J109-Q109</f>
        <v>0</v>
      </c>
    </row>
    <row r="110" spans="1:17" x14ac:dyDescent="0.25">
      <c r="A110" s="1">
        <v>1289</v>
      </c>
      <c r="B110" s="1" t="s">
        <v>131</v>
      </c>
      <c r="C110" s="1" t="s">
        <v>32</v>
      </c>
      <c r="D110" s="1" t="s">
        <v>22</v>
      </c>
      <c r="E110" s="1" t="s">
        <v>23</v>
      </c>
      <c r="F110" s="1" t="s">
        <v>24</v>
      </c>
      <c r="G110" s="1">
        <v>7</v>
      </c>
      <c r="H110" s="1">
        <v>12000</v>
      </c>
      <c r="I110" s="1">
        <v>10</v>
      </c>
      <c r="J110" s="1">
        <v>75600</v>
      </c>
      <c r="K110" s="1">
        <v>11018.55</v>
      </c>
      <c r="L110" s="1" t="str">
        <f>IF(K110&gt;=15000,"High Profit","Low Profit")</f>
        <v>Low Profit</v>
      </c>
      <c r="M110" s="1">
        <f>YEAR(B110)</f>
        <v>2026</v>
      </c>
      <c r="N110" s="1" t="str">
        <f>TEXT(B110,"mmmm")</f>
        <v>June</v>
      </c>
      <c r="O110" s="1" t="str">
        <f>IF(J110&gt;=100000,"Excellent", IF(J110&gt;=50000,"Good","Average"))</f>
        <v>Good</v>
      </c>
      <c r="P110" s="1">
        <f>(H110*G110)*(I110/100)</f>
        <v>8400</v>
      </c>
      <c r="Q110" s="1">
        <f ca="1">J110-Q110</f>
        <v>0</v>
      </c>
    </row>
    <row r="111" spans="1:17" x14ac:dyDescent="0.25">
      <c r="A111" s="1">
        <v>1293</v>
      </c>
      <c r="B111" s="1" t="s">
        <v>259</v>
      </c>
      <c r="C111" s="1" t="s">
        <v>26</v>
      </c>
      <c r="D111" s="1" t="s">
        <v>27</v>
      </c>
      <c r="E111" s="1" t="s">
        <v>23</v>
      </c>
      <c r="F111" s="1" t="s">
        <v>24</v>
      </c>
      <c r="G111" s="1">
        <v>7</v>
      </c>
      <c r="H111" s="1">
        <v>12000</v>
      </c>
      <c r="I111" s="1">
        <v>10</v>
      </c>
      <c r="J111" s="1">
        <v>75600</v>
      </c>
      <c r="K111" s="1">
        <v>7838.34</v>
      </c>
      <c r="L111" s="1" t="str">
        <f>IF(K111&gt;=15000,"High Profit","Low Profit")</f>
        <v>Low Profit</v>
      </c>
      <c r="M111" s="1">
        <f>YEAR(B111)</f>
        <v>2025</v>
      </c>
      <c r="N111" s="1" t="str">
        <f>TEXT(B111,"mmmm")</f>
        <v>September</v>
      </c>
      <c r="O111" s="1" t="str">
        <f>IF(J111&gt;=100000,"Excellent", IF(J111&gt;=50000,"Good","Average"))</f>
        <v>Good</v>
      </c>
      <c r="P111" s="1">
        <f>(H111*G111)*(I111/100)</f>
        <v>8400</v>
      </c>
      <c r="Q111" s="1">
        <f ca="1">J111-Q111</f>
        <v>0</v>
      </c>
    </row>
    <row r="112" spans="1:17" x14ac:dyDescent="0.25">
      <c r="A112" s="1">
        <v>1202</v>
      </c>
      <c r="B112" s="1" t="s">
        <v>200</v>
      </c>
      <c r="C112" s="1" t="s">
        <v>30</v>
      </c>
      <c r="D112" s="1" t="s">
        <v>27</v>
      </c>
      <c r="E112" s="1" t="s">
        <v>43</v>
      </c>
      <c r="F112" s="1" t="s">
        <v>24</v>
      </c>
      <c r="G112" s="1">
        <v>9</v>
      </c>
      <c r="H112" s="1">
        <v>9000</v>
      </c>
      <c r="I112" s="1">
        <v>10</v>
      </c>
      <c r="J112" s="1">
        <v>72900</v>
      </c>
      <c r="K112" s="1">
        <v>10607.48</v>
      </c>
      <c r="L112" s="1" t="str">
        <f>IF(K112&gt;=15000,"High Profit","Low Profit")</f>
        <v>Low Profit</v>
      </c>
      <c r="M112" s="1">
        <f>YEAR(B112)</f>
        <v>2025</v>
      </c>
      <c r="N112" s="1" t="str">
        <f>TEXT(B112,"mmmm")</f>
        <v>June</v>
      </c>
      <c r="O112" s="1" t="str">
        <f>IF(J112&gt;=100000,"Excellent", IF(J112&gt;=50000,"Good","Average"))</f>
        <v>Good</v>
      </c>
      <c r="P112" s="1">
        <f>(H112*G112)*(I112/100)</f>
        <v>8100</v>
      </c>
      <c r="Q112" s="1">
        <f ca="1">J112-Q112</f>
        <v>0</v>
      </c>
    </row>
    <row r="113" spans="1:17" x14ac:dyDescent="0.25">
      <c r="A113" s="1">
        <v>1363</v>
      </c>
      <c r="B113" s="1" t="s">
        <v>292</v>
      </c>
      <c r="C113" s="1" t="s">
        <v>12</v>
      </c>
      <c r="D113" s="1" t="s">
        <v>13</v>
      </c>
      <c r="E113" s="1" t="s">
        <v>43</v>
      </c>
      <c r="F113" s="1" t="s">
        <v>24</v>
      </c>
      <c r="G113" s="1">
        <v>9</v>
      </c>
      <c r="H113" s="1">
        <v>9000</v>
      </c>
      <c r="I113" s="1">
        <v>10</v>
      </c>
      <c r="J113" s="1">
        <v>72900</v>
      </c>
      <c r="K113" s="1">
        <v>10318.86</v>
      </c>
      <c r="L113" s="1" t="str">
        <f>IF(K113&gt;=15000,"High Profit","Low Profit")</f>
        <v>Low Profit</v>
      </c>
      <c r="M113" s="1">
        <f>YEAR(B113)</f>
        <v>2025</v>
      </c>
      <c r="N113" s="1" t="str">
        <f>TEXT(B113,"mmmm")</f>
        <v>January</v>
      </c>
      <c r="O113" s="1" t="str">
        <f>IF(J113&gt;=100000,"Excellent", IF(J113&gt;=50000,"Good","Average"))</f>
        <v>Good</v>
      </c>
      <c r="P113" s="1">
        <f>(H113*G113)*(I113/100)</f>
        <v>8100</v>
      </c>
      <c r="Q113" s="1">
        <f ca="1">J113-Q113</f>
        <v>0</v>
      </c>
    </row>
    <row r="114" spans="1:17" x14ac:dyDescent="0.25">
      <c r="A114" s="1">
        <v>1013</v>
      </c>
      <c r="B114" s="1" t="s">
        <v>42</v>
      </c>
      <c r="C114" s="1" t="s">
        <v>30</v>
      </c>
      <c r="D114" s="1" t="s">
        <v>22</v>
      </c>
      <c r="E114" s="1" t="s">
        <v>43</v>
      </c>
      <c r="F114" s="1" t="s">
        <v>24</v>
      </c>
      <c r="G114" s="1">
        <v>8</v>
      </c>
      <c r="H114" s="1">
        <v>9000</v>
      </c>
      <c r="I114" s="1">
        <v>0</v>
      </c>
      <c r="J114" s="1">
        <v>72000</v>
      </c>
      <c r="K114" s="1">
        <v>6499.44</v>
      </c>
      <c r="L114" s="1" t="str">
        <f>IF(K114&gt;=15000,"High Profit","Low Profit")</f>
        <v>Low Profit</v>
      </c>
      <c r="M114" s="1">
        <f>YEAR(B114)</f>
        <v>2026</v>
      </c>
      <c r="N114" s="1" t="str">
        <f>TEXT(B114,"mmmm")</f>
        <v>May</v>
      </c>
      <c r="O114" s="1" t="str">
        <f>IF(J114&gt;=100000,"Excellent", IF(J114&gt;=50000,"Good","Average"))</f>
        <v>Good</v>
      </c>
      <c r="P114" s="1">
        <f>(H114*G114)*(I114/100)</f>
        <v>0</v>
      </c>
      <c r="Q114" s="1">
        <f ca="1">J114-Q114</f>
        <v>0</v>
      </c>
    </row>
    <row r="115" spans="1:17" x14ac:dyDescent="0.25">
      <c r="A115" s="1">
        <v>1022</v>
      </c>
      <c r="B115" s="1" t="s">
        <v>53</v>
      </c>
      <c r="C115" s="1" t="s">
        <v>41</v>
      </c>
      <c r="D115" s="1" t="s">
        <v>22</v>
      </c>
      <c r="E115" s="1" t="s">
        <v>43</v>
      </c>
      <c r="F115" s="1" t="s">
        <v>24</v>
      </c>
      <c r="G115" s="1">
        <v>8</v>
      </c>
      <c r="H115" s="1">
        <v>9000</v>
      </c>
      <c r="I115" s="1">
        <v>0</v>
      </c>
      <c r="J115" s="1">
        <v>72000</v>
      </c>
      <c r="K115" s="1">
        <v>7744.96</v>
      </c>
      <c r="L115" s="1" t="str">
        <f>IF(K115&gt;=15000,"High Profit","Low Profit")</f>
        <v>Low Profit</v>
      </c>
      <c r="M115" s="1">
        <f>YEAR(B115)</f>
        <v>2026</v>
      </c>
      <c r="N115" s="1" t="str">
        <f>TEXT(B115,"mmmm")</f>
        <v>January</v>
      </c>
      <c r="O115" s="1" t="str">
        <f>IF(J115&gt;=100000,"Excellent", IF(J115&gt;=50000,"Good","Average"))</f>
        <v>Good</v>
      </c>
      <c r="P115" s="1">
        <f>(H115*G115)*(I115/100)</f>
        <v>0</v>
      </c>
      <c r="Q115" s="1">
        <f ca="1">J115-Q115</f>
        <v>0</v>
      </c>
    </row>
    <row r="116" spans="1:17" x14ac:dyDescent="0.25">
      <c r="A116" s="1">
        <v>1140</v>
      </c>
      <c r="B116" s="1" t="s">
        <v>157</v>
      </c>
      <c r="C116" s="1" t="s">
        <v>30</v>
      </c>
      <c r="D116" s="1" t="s">
        <v>13</v>
      </c>
      <c r="E116" s="1" t="s">
        <v>43</v>
      </c>
      <c r="F116" s="1" t="s">
        <v>24</v>
      </c>
      <c r="G116" s="1">
        <v>10</v>
      </c>
      <c r="H116" s="1">
        <v>9000</v>
      </c>
      <c r="I116" s="1">
        <v>20</v>
      </c>
      <c r="J116" s="1">
        <v>72000</v>
      </c>
      <c r="K116" s="1">
        <v>12202.61</v>
      </c>
      <c r="L116" s="1" t="str">
        <f>IF(K116&gt;=15000,"High Profit","Low Profit")</f>
        <v>Low Profit</v>
      </c>
      <c r="M116" s="1">
        <f>YEAR(B116)</f>
        <v>2026</v>
      </c>
      <c r="N116" s="1" t="str">
        <f>TEXT(B116,"mmmm")</f>
        <v>January</v>
      </c>
      <c r="O116" s="1" t="str">
        <f>IF(J116&gt;=100000,"Excellent", IF(J116&gt;=50000,"Good","Average"))</f>
        <v>Good</v>
      </c>
      <c r="P116" s="1">
        <f>(H116*G116)*(I116/100)</f>
        <v>18000</v>
      </c>
      <c r="Q116" s="1">
        <f ca="1">J116-Q116</f>
        <v>0</v>
      </c>
    </row>
    <row r="117" spans="1:17" x14ac:dyDescent="0.25">
      <c r="A117" s="1">
        <v>1159</v>
      </c>
      <c r="B117" s="1" t="s">
        <v>136</v>
      </c>
      <c r="C117" s="1" t="s">
        <v>21</v>
      </c>
      <c r="D117" s="1" t="s">
        <v>17</v>
      </c>
      <c r="E117" s="1" t="s">
        <v>43</v>
      </c>
      <c r="F117" s="1" t="s">
        <v>24</v>
      </c>
      <c r="G117" s="1">
        <v>8</v>
      </c>
      <c r="H117" s="1">
        <v>9000</v>
      </c>
      <c r="I117" s="1">
        <v>0</v>
      </c>
      <c r="J117" s="1">
        <v>72000</v>
      </c>
      <c r="K117" s="1">
        <v>16897.080000000002</v>
      </c>
      <c r="L117" s="1" t="str">
        <f>IF(K117&gt;=15000,"High Profit","Low Profit")</f>
        <v>High Profit</v>
      </c>
      <c r="M117" s="1">
        <f>YEAR(B117)</f>
        <v>2026</v>
      </c>
      <c r="N117" s="1" t="str">
        <f>TEXT(B117,"mmmm")</f>
        <v>March</v>
      </c>
      <c r="O117" s="1" t="str">
        <f>IF(J117&gt;=100000,"Excellent", IF(J117&gt;=50000,"Good","Average"))</f>
        <v>Good</v>
      </c>
      <c r="P117" s="1">
        <f>(H117*G117)*(I117/100)</f>
        <v>0</v>
      </c>
      <c r="Q117" s="1">
        <f ca="1">J117-Q117</f>
        <v>0</v>
      </c>
    </row>
    <row r="118" spans="1:17" x14ac:dyDescent="0.25">
      <c r="A118" s="1">
        <v>1208</v>
      </c>
      <c r="B118" s="1" t="s">
        <v>203</v>
      </c>
      <c r="C118" s="1" t="s">
        <v>30</v>
      </c>
      <c r="D118" s="1" t="s">
        <v>27</v>
      </c>
      <c r="E118" s="1" t="s">
        <v>23</v>
      </c>
      <c r="F118" s="1" t="s">
        <v>24</v>
      </c>
      <c r="G118" s="1">
        <v>6</v>
      </c>
      <c r="H118" s="1">
        <v>12000</v>
      </c>
      <c r="I118" s="1">
        <v>0</v>
      </c>
      <c r="J118" s="1">
        <v>72000</v>
      </c>
      <c r="K118" s="1">
        <v>16617.38</v>
      </c>
      <c r="L118" s="1" t="str">
        <f>IF(K118&gt;=15000,"High Profit","Low Profit")</f>
        <v>High Profit</v>
      </c>
      <c r="M118" s="1">
        <f>YEAR(B118)</f>
        <v>2025</v>
      </c>
      <c r="N118" s="1" t="str">
        <f>TEXT(B118,"mmmm")</f>
        <v>July</v>
      </c>
      <c r="O118" s="1" t="str">
        <f>IF(J118&gt;=100000,"Excellent", IF(J118&gt;=50000,"Good","Average"))</f>
        <v>Good</v>
      </c>
      <c r="P118" s="1">
        <f>(H118*G118)*(I118/100)</f>
        <v>0</v>
      </c>
      <c r="Q118" s="1">
        <f ca="1">J118-Q118</f>
        <v>0</v>
      </c>
    </row>
    <row r="119" spans="1:17" x14ac:dyDescent="0.25">
      <c r="A119" s="1">
        <v>1307</v>
      </c>
      <c r="B119" s="1" t="s">
        <v>266</v>
      </c>
      <c r="C119" s="1" t="s">
        <v>30</v>
      </c>
      <c r="D119" s="1" t="s">
        <v>17</v>
      </c>
      <c r="E119" s="1" t="s">
        <v>43</v>
      </c>
      <c r="F119" s="1" t="s">
        <v>24</v>
      </c>
      <c r="G119" s="1">
        <v>8</v>
      </c>
      <c r="H119" s="1">
        <v>9000</v>
      </c>
      <c r="I119" s="1">
        <v>0</v>
      </c>
      <c r="J119" s="1">
        <v>72000</v>
      </c>
      <c r="K119" s="1">
        <v>14892.65</v>
      </c>
      <c r="L119" s="1" t="str">
        <f>IF(K119&gt;=15000,"High Profit","Low Profit")</f>
        <v>Low Profit</v>
      </c>
      <c r="M119" s="1">
        <f>YEAR(B119)</f>
        <v>2025</v>
      </c>
      <c r="N119" s="1" t="str">
        <f>TEXT(B119,"mmmm")</f>
        <v>October</v>
      </c>
      <c r="O119" s="1" t="str">
        <f>IF(J119&gt;=100000,"Excellent", IF(J119&gt;=50000,"Good","Average"))</f>
        <v>Good</v>
      </c>
      <c r="P119" s="1">
        <f>(H119*G119)*(I119/100)</f>
        <v>0</v>
      </c>
      <c r="Q119" s="1">
        <f ca="1">J119-Q119</f>
        <v>0</v>
      </c>
    </row>
    <row r="120" spans="1:17" x14ac:dyDescent="0.25">
      <c r="A120" s="1">
        <v>1365</v>
      </c>
      <c r="B120" s="1" t="s">
        <v>156</v>
      </c>
      <c r="C120" s="1" t="s">
        <v>21</v>
      </c>
      <c r="D120" s="1" t="s">
        <v>27</v>
      </c>
      <c r="E120" s="1" t="s">
        <v>23</v>
      </c>
      <c r="F120" s="1" t="s">
        <v>24</v>
      </c>
      <c r="G120" s="1">
        <v>6</v>
      </c>
      <c r="H120" s="1">
        <v>12000</v>
      </c>
      <c r="I120" s="1">
        <v>0</v>
      </c>
      <c r="J120" s="1">
        <v>72000</v>
      </c>
      <c r="K120" s="1">
        <v>10012.969999999999</v>
      </c>
      <c r="L120" s="1" t="str">
        <f>IF(K120&gt;=15000,"High Profit","Low Profit")</f>
        <v>Low Profit</v>
      </c>
      <c r="M120" s="1">
        <f>YEAR(B120)</f>
        <v>2025</v>
      </c>
      <c r="N120" s="1" t="str">
        <f>TEXT(B120,"mmmm")</f>
        <v>November</v>
      </c>
      <c r="O120" s="1" t="str">
        <f>IF(J120&gt;=100000,"Excellent", IF(J120&gt;=50000,"Good","Average"))</f>
        <v>Good</v>
      </c>
      <c r="P120" s="1">
        <f>(H120*G120)*(I120/100)</f>
        <v>0</v>
      </c>
      <c r="Q120" s="1">
        <f ca="1">J120-Q120</f>
        <v>0</v>
      </c>
    </row>
    <row r="121" spans="1:17" x14ac:dyDescent="0.25">
      <c r="A121" s="1">
        <v>1280</v>
      </c>
      <c r="B121" s="1" t="s">
        <v>251</v>
      </c>
      <c r="C121" s="1" t="s">
        <v>30</v>
      </c>
      <c r="D121" s="1" t="s">
        <v>22</v>
      </c>
      <c r="E121" s="1" t="s">
        <v>23</v>
      </c>
      <c r="F121" s="1" t="s">
        <v>24</v>
      </c>
      <c r="G121" s="1">
        <v>7</v>
      </c>
      <c r="H121" s="1">
        <v>12000</v>
      </c>
      <c r="I121" s="1">
        <v>15</v>
      </c>
      <c r="J121" s="1">
        <v>71400</v>
      </c>
      <c r="K121" s="1">
        <v>14937.86</v>
      </c>
      <c r="L121" s="1" t="str">
        <f>IF(K121&gt;=15000,"High Profit","Low Profit")</f>
        <v>Low Profit</v>
      </c>
      <c r="M121" s="1">
        <f>YEAR(B121)</f>
        <v>2025</v>
      </c>
      <c r="N121" s="1" t="str">
        <f>TEXT(B121,"mmmm")</f>
        <v>December</v>
      </c>
      <c r="O121" s="1" t="str">
        <f>IF(J121&gt;=100000,"Excellent", IF(J121&gt;=50000,"Good","Average"))</f>
        <v>Good</v>
      </c>
      <c r="P121" s="1">
        <f>(H121*G121)*(I121/100)</f>
        <v>12600</v>
      </c>
      <c r="Q121" s="1">
        <f ca="1">J121-Q121</f>
        <v>0</v>
      </c>
    </row>
    <row r="122" spans="1:17" x14ac:dyDescent="0.25">
      <c r="A122" s="1">
        <v>1473</v>
      </c>
      <c r="B122" s="1" t="s">
        <v>304</v>
      </c>
      <c r="C122" s="1" t="s">
        <v>41</v>
      </c>
      <c r="D122" s="1" t="s">
        <v>22</v>
      </c>
      <c r="E122" s="1" t="s">
        <v>23</v>
      </c>
      <c r="F122" s="1" t="s">
        <v>24</v>
      </c>
      <c r="G122" s="1">
        <v>7</v>
      </c>
      <c r="H122" s="1">
        <v>12000</v>
      </c>
      <c r="I122" s="1">
        <v>15</v>
      </c>
      <c r="J122" s="1">
        <v>71400</v>
      </c>
      <c r="K122" s="1">
        <v>7425.96</v>
      </c>
      <c r="L122" s="1" t="str">
        <f>IF(K122&gt;=15000,"High Profit","Low Profit")</f>
        <v>Low Profit</v>
      </c>
      <c r="M122" s="1">
        <f>YEAR(B122)</f>
        <v>2025</v>
      </c>
      <c r="N122" s="1" t="str">
        <f>TEXT(B122,"mmmm")</f>
        <v>March</v>
      </c>
      <c r="O122" s="1" t="str">
        <f>IF(J122&gt;=100000,"Excellent", IF(J122&gt;=50000,"Good","Average"))</f>
        <v>Good</v>
      </c>
      <c r="P122" s="1">
        <f>(H122*G122)*(I122/100)</f>
        <v>12600</v>
      </c>
      <c r="Q122" s="1">
        <f ca="1">J122-Q122</f>
        <v>0</v>
      </c>
    </row>
    <row r="123" spans="1:17" x14ac:dyDescent="0.25">
      <c r="A123" s="1">
        <v>1020</v>
      </c>
      <c r="B123" s="1" t="s">
        <v>51</v>
      </c>
      <c r="C123" s="1" t="s">
        <v>47</v>
      </c>
      <c r="D123" s="1" t="s">
        <v>13</v>
      </c>
      <c r="E123" s="1" t="s">
        <v>18</v>
      </c>
      <c r="F123" s="1" t="s">
        <v>19</v>
      </c>
      <c r="G123" s="1">
        <v>10</v>
      </c>
      <c r="H123" s="1">
        <v>7000</v>
      </c>
      <c r="I123" s="1">
        <v>0</v>
      </c>
      <c r="J123" s="1">
        <v>70000</v>
      </c>
      <c r="K123" s="1">
        <v>13805.13</v>
      </c>
      <c r="L123" s="1" t="str">
        <f>IF(K123&gt;=15000,"High Profit","Low Profit")</f>
        <v>Low Profit</v>
      </c>
      <c r="M123" s="1">
        <f>YEAR(B123)</f>
        <v>2025</v>
      </c>
      <c r="N123" s="1" t="str">
        <f>TEXT(B123,"mmmm")</f>
        <v>May</v>
      </c>
      <c r="O123" s="1" t="str">
        <f>IF(J123&gt;=100000,"Excellent", IF(J123&gt;=50000,"Good","Average"))</f>
        <v>Good</v>
      </c>
      <c r="P123" s="1">
        <f>(H123*G123)*(I123/100)</f>
        <v>0</v>
      </c>
      <c r="Q123" s="1">
        <f ca="1">J123-Q123</f>
        <v>0</v>
      </c>
    </row>
    <row r="124" spans="1:17" x14ac:dyDescent="0.25">
      <c r="A124" s="1">
        <v>1216</v>
      </c>
      <c r="B124" s="1" t="s">
        <v>210</v>
      </c>
      <c r="C124" s="1" t="s">
        <v>45</v>
      </c>
      <c r="D124" s="1" t="s">
        <v>13</v>
      </c>
      <c r="E124" s="1" t="s">
        <v>18</v>
      </c>
      <c r="F124" s="1" t="s">
        <v>19</v>
      </c>
      <c r="G124" s="1">
        <v>10</v>
      </c>
      <c r="H124" s="1">
        <v>7000</v>
      </c>
      <c r="I124" s="1">
        <v>0</v>
      </c>
      <c r="J124" s="1">
        <v>70000</v>
      </c>
      <c r="K124" s="1">
        <v>9633.68</v>
      </c>
      <c r="L124" s="1" t="str">
        <f>IF(K124&gt;=15000,"High Profit","Low Profit")</f>
        <v>Low Profit</v>
      </c>
      <c r="M124" s="1">
        <f>YEAR(B124)</f>
        <v>2025</v>
      </c>
      <c r="N124" s="1" t="str">
        <f>TEXT(B124,"mmmm")</f>
        <v>November</v>
      </c>
      <c r="O124" s="1" t="str">
        <f>IF(J124&gt;=100000,"Excellent", IF(J124&gt;=50000,"Good","Average"))</f>
        <v>Good</v>
      </c>
      <c r="P124" s="1">
        <f>(H124*G124)*(I124/100)</f>
        <v>0</v>
      </c>
      <c r="Q124" s="1">
        <f ca="1">J124-Q124</f>
        <v>0</v>
      </c>
    </row>
    <row r="125" spans="1:17" x14ac:dyDescent="0.25">
      <c r="A125" s="1">
        <v>1306</v>
      </c>
      <c r="B125" s="1" t="s">
        <v>171</v>
      </c>
      <c r="C125" s="1" t="s">
        <v>12</v>
      </c>
      <c r="D125" s="1" t="s">
        <v>22</v>
      </c>
      <c r="E125" s="1" t="s">
        <v>43</v>
      </c>
      <c r="F125" s="1" t="s">
        <v>24</v>
      </c>
      <c r="G125" s="1">
        <v>9</v>
      </c>
      <c r="H125" s="1">
        <v>9000</v>
      </c>
      <c r="I125" s="1">
        <v>15</v>
      </c>
      <c r="J125" s="1">
        <v>68850</v>
      </c>
      <c r="K125" s="1">
        <v>14280</v>
      </c>
      <c r="L125" s="1" t="str">
        <f>IF(K125&gt;=15000,"High Profit","Low Profit")</f>
        <v>Low Profit</v>
      </c>
      <c r="M125" s="1">
        <f>YEAR(B125)</f>
        <v>2025</v>
      </c>
      <c r="N125" s="1" t="str">
        <f>TEXT(B125,"mmmm")</f>
        <v>June</v>
      </c>
      <c r="O125" s="1" t="str">
        <f>IF(J125&gt;=100000,"Excellent", IF(J125&gt;=50000,"Good","Average"))</f>
        <v>Good</v>
      </c>
      <c r="P125" s="1">
        <f>(H125*G125)*(I125/100)</f>
        <v>12150</v>
      </c>
      <c r="Q125" s="1">
        <f ca="1">J125-Q125</f>
        <v>0</v>
      </c>
    </row>
    <row r="126" spans="1:17" x14ac:dyDescent="0.25">
      <c r="A126" s="1">
        <v>1067</v>
      </c>
      <c r="B126" s="1" t="s">
        <v>92</v>
      </c>
      <c r="C126" s="1" t="s">
        <v>45</v>
      </c>
      <c r="D126" s="1" t="s">
        <v>17</v>
      </c>
      <c r="E126" s="1" t="s">
        <v>23</v>
      </c>
      <c r="F126" s="1" t="s">
        <v>24</v>
      </c>
      <c r="G126" s="1">
        <v>6</v>
      </c>
      <c r="H126" s="1">
        <v>12000</v>
      </c>
      <c r="I126" s="1">
        <v>5</v>
      </c>
      <c r="J126" s="1">
        <v>68400</v>
      </c>
      <c r="K126" s="1">
        <v>7414.99</v>
      </c>
      <c r="L126" s="1" t="str">
        <f>IF(K126&gt;=15000,"High Profit","Low Profit")</f>
        <v>Low Profit</v>
      </c>
      <c r="M126" s="1">
        <f>YEAR(B126)</f>
        <v>2025</v>
      </c>
      <c r="N126" s="1" t="str">
        <f>TEXT(B126,"mmmm")</f>
        <v>August</v>
      </c>
      <c r="O126" s="1" t="str">
        <f>IF(J126&gt;=100000,"Excellent", IF(J126&gt;=50000,"Good","Average"))</f>
        <v>Good</v>
      </c>
      <c r="P126" s="1">
        <f>(H126*G126)*(I126/100)</f>
        <v>3600</v>
      </c>
      <c r="Q126" s="1">
        <f ca="1">J126-Q126</f>
        <v>0</v>
      </c>
    </row>
    <row r="127" spans="1:17" x14ac:dyDescent="0.25">
      <c r="A127" s="1">
        <v>1106</v>
      </c>
      <c r="B127" s="1" t="s">
        <v>129</v>
      </c>
      <c r="C127" s="1" t="s">
        <v>41</v>
      </c>
      <c r="D127" s="1" t="s">
        <v>22</v>
      </c>
      <c r="E127" s="1" t="s">
        <v>23</v>
      </c>
      <c r="F127" s="1" t="s">
        <v>24</v>
      </c>
      <c r="G127" s="1">
        <v>6</v>
      </c>
      <c r="H127" s="1">
        <v>12000</v>
      </c>
      <c r="I127" s="1">
        <v>5</v>
      </c>
      <c r="J127" s="1">
        <v>68400</v>
      </c>
      <c r="K127" s="1">
        <v>6193.04</v>
      </c>
      <c r="L127" s="1" t="str">
        <f>IF(K127&gt;=15000,"High Profit","Low Profit")</f>
        <v>Low Profit</v>
      </c>
      <c r="M127" s="1">
        <f>YEAR(B127)</f>
        <v>2026</v>
      </c>
      <c r="N127" s="1" t="str">
        <f>TEXT(B127,"mmmm")</f>
        <v>April</v>
      </c>
      <c r="O127" s="1" t="str">
        <f>IF(J127&gt;=100000,"Excellent", IF(J127&gt;=50000,"Good","Average"))</f>
        <v>Good</v>
      </c>
      <c r="P127" s="1">
        <f>(H127*G127)*(I127/100)</f>
        <v>3600</v>
      </c>
      <c r="Q127" s="1">
        <f ca="1">J127-Q127</f>
        <v>0</v>
      </c>
    </row>
    <row r="128" spans="1:17" x14ac:dyDescent="0.25">
      <c r="A128" s="1">
        <v>1189</v>
      </c>
      <c r="B128" s="1" t="s">
        <v>111</v>
      </c>
      <c r="C128" s="1" t="s">
        <v>32</v>
      </c>
      <c r="D128" s="1" t="s">
        <v>13</v>
      </c>
      <c r="E128" s="1" t="s">
        <v>23</v>
      </c>
      <c r="F128" s="1" t="s">
        <v>24</v>
      </c>
      <c r="G128" s="1">
        <v>6</v>
      </c>
      <c r="H128" s="1">
        <v>12000</v>
      </c>
      <c r="I128" s="1">
        <v>5</v>
      </c>
      <c r="J128" s="1">
        <v>68400</v>
      </c>
      <c r="K128" s="1">
        <v>16470.27</v>
      </c>
      <c r="L128" s="1" t="str">
        <f>IF(K128&gt;=15000,"High Profit","Low Profit")</f>
        <v>High Profit</v>
      </c>
      <c r="M128" s="1">
        <f>YEAR(B128)</f>
        <v>2025</v>
      </c>
      <c r="N128" s="1" t="str">
        <f>TEXT(B128,"mmmm")</f>
        <v>July</v>
      </c>
      <c r="O128" s="1" t="str">
        <f>IF(J128&gt;=100000,"Excellent", IF(J128&gt;=50000,"Good","Average"))</f>
        <v>Good</v>
      </c>
      <c r="P128" s="1">
        <f>(H128*G128)*(I128/100)</f>
        <v>3600</v>
      </c>
      <c r="Q128" s="1">
        <f ca="1">J128-Q128</f>
        <v>0</v>
      </c>
    </row>
    <row r="129" spans="1:17" x14ac:dyDescent="0.25">
      <c r="A129" s="1">
        <v>1200</v>
      </c>
      <c r="B129" s="1" t="s">
        <v>199</v>
      </c>
      <c r="C129" s="1" t="s">
        <v>21</v>
      </c>
      <c r="D129" s="1" t="s">
        <v>22</v>
      </c>
      <c r="E129" s="1" t="s">
        <v>43</v>
      </c>
      <c r="F129" s="1" t="s">
        <v>24</v>
      </c>
      <c r="G129" s="1">
        <v>8</v>
      </c>
      <c r="H129" s="1">
        <v>9000</v>
      </c>
      <c r="I129" s="1">
        <v>5</v>
      </c>
      <c r="J129" s="1">
        <v>68400</v>
      </c>
      <c r="K129" s="1">
        <v>11186.78</v>
      </c>
      <c r="L129" s="1" t="str">
        <f>IF(K129&gt;=15000,"High Profit","Low Profit")</f>
        <v>Low Profit</v>
      </c>
      <c r="M129" s="1">
        <f>YEAR(B129)</f>
        <v>2026</v>
      </c>
      <c r="N129" s="1" t="str">
        <f>TEXT(B129,"mmmm")</f>
        <v>April</v>
      </c>
      <c r="O129" s="1" t="str">
        <f>IF(J129&gt;=100000,"Excellent", IF(J129&gt;=50000,"Good","Average"))</f>
        <v>Good</v>
      </c>
      <c r="P129" s="1">
        <f>(H129*G129)*(I129/100)</f>
        <v>3600</v>
      </c>
      <c r="Q129" s="1">
        <f ca="1">J129-Q129</f>
        <v>0</v>
      </c>
    </row>
    <row r="130" spans="1:17" x14ac:dyDescent="0.25">
      <c r="A130" s="1">
        <v>1359</v>
      </c>
      <c r="B130" s="1" t="s">
        <v>155</v>
      </c>
      <c r="C130" s="1" t="s">
        <v>30</v>
      </c>
      <c r="D130" s="1" t="s">
        <v>27</v>
      </c>
      <c r="E130" s="1" t="s">
        <v>23</v>
      </c>
      <c r="F130" s="1" t="s">
        <v>24</v>
      </c>
      <c r="G130" s="1">
        <v>6</v>
      </c>
      <c r="H130" s="1">
        <v>12000</v>
      </c>
      <c r="I130" s="1">
        <v>5</v>
      </c>
      <c r="J130" s="1">
        <v>68400</v>
      </c>
      <c r="K130" s="1">
        <v>11794.95</v>
      </c>
      <c r="L130" s="1" t="str">
        <f>IF(K130&gt;=15000,"High Profit","Low Profit")</f>
        <v>Low Profit</v>
      </c>
      <c r="M130" s="1">
        <f>YEAR(B130)</f>
        <v>2025</v>
      </c>
      <c r="N130" s="1" t="str">
        <f>TEXT(B130,"mmmm")</f>
        <v>October</v>
      </c>
      <c r="O130" s="1" t="str">
        <f>IF(J130&gt;=100000,"Excellent", IF(J130&gt;=50000,"Good","Average"))</f>
        <v>Good</v>
      </c>
      <c r="P130" s="1">
        <f>(H130*G130)*(I130/100)</f>
        <v>3600</v>
      </c>
      <c r="Q130" s="1">
        <f ca="1">J130-Q130</f>
        <v>0</v>
      </c>
    </row>
    <row r="131" spans="1:17" x14ac:dyDescent="0.25">
      <c r="A131" s="1">
        <v>1405</v>
      </c>
      <c r="B131" s="1" t="s">
        <v>274</v>
      </c>
      <c r="C131" s="1" t="s">
        <v>12</v>
      </c>
      <c r="D131" s="1" t="s">
        <v>17</v>
      </c>
      <c r="E131" s="1" t="s">
        <v>23</v>
      </c>
      <c r="F131" s="1" t="s">
        <v>24</v>
      </c>
      <c r="G131" s="1">
        <v>6</v>
      </c>
      <c r="H131" s="1">
        <v>12000</v>
      </c>
      <c r="I131" s="1">
        <v>5</v>
      </c>
      <c r="J131" s="1">
        <v>68400</v>
      </c>
      <c r="K131" s="1">
        <v>6946.94</v>
      </c>
      <c r="L131" s="1" t="str">
        <f>IF(K131&gt;=15000,"High Profit","Low Profit")</f>
        <v>Low Profit</v>
      </c>
      <c r="M131" s="1">
        <f>YEAR(B131)</f>
        <v>2025</v>
      </c>
      <c r="N131" s="1" t="str">
        <f>TEXT(B131,"mmmm")</f>
        <v>December</v>
      </c>
      <c r="O131" s="1" t="str">
        <f>IF(J131&gt;=100000,"Excellent", IF(J131&gt;=50000,"Good","Average"))</f>
        <v>Good</v>
      </c>
      <c r="P131" s="1">
        <f>(H131*G131)*(I131/100)</f>
        <v>3600</v>
      </c>
      <c r="Q131" s="1">
        <f ca="1">J131-Q131</f>
        <v>0</v>
      </c>
    </row>
    <row r="132" spans="1:17" x14ac:dyDescent="0.25">
      <c r="A132" s="1">
        <v>1447</v>
      </c>
      <c r="B132" s="1" t="s">
        <v>328</v>
      </c>
      <c r="C132" s="1" t="s">
        <v>30</v>
      </c>
      <c r="D132" s="1" t="s">
        <v>13</v>
      </c>
      <c r="E132" s="1" t="s">
        <v>23</v>
      </c>
      <c r="F132" s="1" t="s">
        <v>24</v>
      </c>
      <c r="G132" s="1">
        <v>7</v>
      </c>
      <c r="H132" s="1">
        <v>12000</v>
      </c>
      <c r="I132" s="1">
        <v>20</v>
      </c>
      <c r="J132" s="1">
        <v>67200</v>
      </c>
      <c r="K132" s="1">
        <v>16671.66</v>
      </c>
      <c r="L132" s="1" t="str">
        <f>IF(K132&gt;=15000,"High Profit","Low Profit")</f>
        <v>High Profit</v>
      </c>
      <c r="M132" s="1">
        <f>YEAR(B132)</f>
        <v>2026</v>
      </c>
      <c r="N132" s="1" t="str">
        <f>TEXT(B132,"mmmm")</f>
        <v>April</v>
      </c>
      <c r="O132" s="1" t="str">
        <f>IF(J132&gt;=100000,"Excellent", IF(J132&gt;=50000,"Good","Average"))</f>
        <v>Good</v>
      </c>
      <c r="P132" s="1">
        <f>(H132*G132)*(I132/100)</f>
        <v>16800</v>
      </c>
      <c r="Q132" s="1">
        <f ca="1">J132-Q132</f>
        <v>0</v>
      </c>
    </row>
    <row r="133" spans="1:17" x14ac:dyDescent="0.25">
      <c r="A133" s="1">
        <v>1451</v>
      </c>
      <c r="B133" s="1" t="s">
        <v>191</v>
      </c>
      <c r="C133" s="1" t="s">
        <v>41</v>
      </c>
      <c r="D133" s="1" t="s">
        <v>13</v>
      </c>
      <c r="E133" s="1" t="s">
        <v>18</v>
      </c>
      <c r="F133" s="1" t="s">
        <v>19</v>
      </c>
      <c r="G133" s="1">
        <v>10</v>
      </c>
      <c r="H133" s="1">
        <v>7000</v>
      </c>
      <c r="I133" s="1">
        <v>5</v>
      </c>
      <c r="J133" s="1">
        <v>66500</v>
      </c>
      <c r="K133" s="1">
        <v>6554.05</v>
      </c>
      <c r="L133" s="1" t="str">
        <f>IF(K133&gt;=15000,"High Profit","Low Profit")</f>
        <v>Low Profit</v>
      </c>
      <c r="M133" s="1">
        <f>YEAR(B133)</f>
        <v>2025</v>
      </c>
      <c r="N133" s="1" t="str">
        <f>TEXT(B133,"mmmm")</f>
        <v>December</v>
      </c>
      <c r="O133" s="1" t="str">
        <f>IF(J133&gt;=100000,"Excellent", IF(J133&gt;=50000,"Good","Average"))</f>
        <v>Good</v>
      </c>
      <c r="P133" s="1">
        <f>(H133*G133)*(I133/100)</f>
        <v>3500</v>
      </c>
      <c r="Q133" s="1">
        <f ca="1">J133-Q133</f>
        <v>0</v>
      </c>
    </row>
    <row r="134" spans="1:17" x14ac:dyDescent="0.25">
      <c r="A134" s="1">
        <v>1255</v>
      </c>
      <c r="B134" s="1" t="s">
        <v>234</v>
      </c>
      <c r="C134" s="1" t="s">
        <v>30</v>
      </c>
      <c r="D134" s="1" t="s">
        <v>22</v>
      </c>
      <c r="E134" s="1" t="s">
        <v>43</v>
      </c>
      <c r="F134" s="1" t="s">
        <v>24</v>
      </c>
      <c r="G134" s="1">
        <v>8</v>
      </c>
      <c r="H134" s="1">
        <v>9000</v>
      </c>
      <c r="I134" s="1">
        <v>10</v>
      </c>
      <c r="J134" s="1">
        <v>64800</v>
      </c>
      <c r="K134" s="1">
        <v>13649.38</v>
      </c>
      <c r="L134" s="1" t="str">
        <f>IF(K134&gt;=15000,"High Profit","Low Profit")</f>
        <v>Low Profit</v>
      </c>
      <c r="M134" s="1">
        <f>YEAR(B134)</f>
        <v>2025</v>
      </c>
      <c r="N134" s="1" t="str">
        <f>TEXT(B134,"mmmm")</f>
        <v>April</v>
      </c>
      <c r="O134" s="1" t="str">
        <f>IF(J134&gt;=100000,"Excellent", IF(J134&gt;=50000,"Good","Average"))</f>
        <v>Good</v>
      </c>
      <c r="P134" s="1">
        <f>(H134*G134)*(I134/100)</f>
        <v>7200</v>
      </c>
      <c r="Q134" s="1">
        <f ca="1">J134-Q134</f>
        <v>0</v>
      </c>
    </row>
    <row r="135" spans="1:17" x14ac:dyDescent="0.25">
      <c r="A135" s="1">
        <v>1267</v>
      </c>
      <c r="B135" s="1" t="s">
        <v>242</v>
      </c>
      <c r="C135" s="1" t="s">
        <v>36</v>
      </c>
      <c r="D135" s="1" t="s">
        <v>17</v>
      </c>
      <c r="E135" s="1" t="s">
        <v>23</v>
      </c>
      <c r="F135" s="1" t="s">
        <v>24</v>
      </c>
      <c r="G135" s="1">
        <v>6</v>
      </c>
      <c r="H135" s="1">
        <v>12000</v>
      </c>
      <c r="I135" s="1">
        <v>10</v>
      </c>
      <c r="J135" s="1">
        <v>64800</v>
      </c>
      <c r="K135" s="1">
        <v>5282.43</v>
      </c>
      <c r="L135" s="1" t="str">
        <f>IF(K135&gt;=15000,"High Profit","Low Profit")</f>
        <v>Low Profit</v>
      </c>
      <c r="M135" s="1">
        <f>YEAR(B135)</f>
        <v>2026</v>
      </c>
      <c r="N135" s="1" t="str">
        <f>TEXT(B135,"mmmm")</f>
        <v>February</v>
      </c>
      <c r="O135" s="1" t="str">
        <f>IF(J135&gt;=100000,"Excellent", IF(J135&gt;=50000,"Good","Average"))</f>
        <v>Good</v>
      </c>
      <c r="P135" s="1">
        <f>(H135*G135)*(I135/100)</f>
        <v>7200</v>
      </c>
      <c r="Q135" s="1">
        <f ca="1">J135-Q135</f>
        <v>0</v>
      </c>
    </row>
    <row r="136" spans="1:17" x14ac:dyDescent="0.25">
      <c r="A136" s="1">
        <v>1286</v>
      </c>
      <c r="B136" s="1" t="s">
        <v>255</v>
      </c>
      <c r="C136" s="1" t="s">
        <v>47</v>
      </c>
      <c r="D136" s="1" t="s">
        <v>13</v>
      </c>
      <c r="E136" s="1" t="s">
        <v>23</v>
      </c>
      <c r="F136" s="1" t="s">
        <v>24</v>
      </c>
      <c r="G136" s="1">
        <v>6</v>
      </c>
      <c r="H136" s="1">
        <v>12000</v>
      </c>
      <c r="I136" s="1">
        <v>10</v>
      </c>
      <c r="J136" s="1">
        <v>64800</v>
      </c>
      <c r="K136" s="1">
        <v>13095.53</v>
      </c>
      <c r="L136" s="1" t="str">
        <f>IF(K136&gt;=15000,"High Profit","Low Profit")</f>
        <v>Low Profit</v>
      </c>
      <c r="M136" s="1">
        <f>YEAR(B136)</f>
        <v>2025</v>
      </c>
      <c r="N136" s="1" t="str">
        <f>TEXT(B136,"mmmm")</f>
        <v>February</v>
      </c>
      <c r="O136" s="1" t="str">
        <f>IF(J136&gt;=100000,"Excellent", IF(J136&gt;=50000,"Good","Average"))</f>
        <v>Good</v>
      </c>
      <c r="P136" s="1">
        <f>(H136*G136)*(I136/100)</f>
        <v>7200</v>
      </c>
      <c r="Q136" s="1">
        <f ca="1">J136-Q136</f>
        <v>0</v>
      </c>
    </row>
    <row r="137" spans="1:17" x14ac:dyDescent="0.25">
      <c r="A137" s="1">
        <v>1357</v>
      </c>
      <c r="B137" s="1" t="s">
        <v>281</v>
      </c>
      <c r="C137" s="1" t="s">
        <v>39</v>
      </c>
      <c r="D137" s="1" t="s">
        <v>22</v>
      </c>
      <c r="E137" s="1" t="s">
        <v>23</v>
      </c>
      <c r="F137" s="1" t="s">
        <v>24</v>
      </c>
      <c r="G137" s="1">
        <v>6</v>
      </c>
      <c r="H137" s="1">
        <v>12000</v>
      </c>
      <c r="I137" s="1">
        <v>10</v>
      </c>
      <c r="J137" s="1">
        <v>64800</v>
      </c>
      <c r="K137" s="1">
        <v>6563.84</v>
      </c>
      <c r="L137" s="1" t="str">
        <f>IF(K137&gt;=15000,"High Profit","Low Profit")</f>
        <v>Low Profit</v>
      </c>
      <c r="M137" s="1">
        <f>YEAR(B137)</f>
        <v>2025</v>
      </c>
      <c r="N137" s="1" t="str">
        <f>TEXT(B137,"mmmm")</f>
        <v>April</v>
      </c>
      <c r="O137" s="1" t="str">
        <f>IF(J137&gt;=100000,"Excellent", IF(J137&gt;=50000,"Good","Average"))</f>
        <v>Good</v>
      </c>
      <c r="P137" s="1">
        <f>(H137*G137)*(I137/100)</f>
        <v>7200</v>
      </c>
      <c r="Q137" s="1">
        <f ca="1">J137-Q137</f>
        <v>0</v>
      </c>
    </row>
    <row r="138" spans="1:17" x14ac:dyDescent="0.25">
      <c r="A138" s="1">
        <v>1360</v>
      </c>
      <c r="B138" s="1" t="s">
        <v>290</v>
      </c>
      <c r="C138" s="1" t="s">
        <v>32</v>
      </c>
      <c r="D138" s="1" t="s">
        <v>27</v>
      </c>
      <c r="E138" s="1" t="s">
        <v>43</v>
      </c>
      <c r="F138" s="1" t="s">
        <v>24</v>
      </c>
      <c r="G138" s="1">
        <v>9</v>
      </c>
      <c r="H138" s="1">
        <v>9000</v>
      </c>
      <c r="I138" s="1">
        <v>20</v>
      </c>
      <c r="J138" s="1">
        <v>64800</v>
      </c>
      <c r="K138" s="1">
        <v>12605.66</v>
      </c>
      <c r="L138" s="1" t="str">
        <f>IF(K138&gt;=15000,"High Profit","Low Profit")</f>
        <v>Low Profit</v>
      </c>
      <c r="M138" s="1">
        <f>YEAR(B138)</f>
        <v>2025</v>
      </c>
      <c r="N138" s="1" t="str">
        <f>TEXT(B138,"mmmm")</f>
        <v>May</v>
      </c>
      <c r="O138" s="1" t="str">
        <f>IF(J138&gt;=100000,"Excellent", IF(J138&gt;=50000,"Good","Average"))</f>
        <v>Good</v>
      </c>
      <c r="P138" s="1">
        <f>(H138*G138)*(I138/100)</f>
        <v>16200</v>
      </c>
      <c r="Q138" s="1">
        <f ca="1">J138-Q138</f>
        <v>0</v>
      </c>
    </row>
    <row r="139" spans="1:17" x14ac:dyDescent="0.25">
      <c r="A139" s="1">
        <v>1413</v>
      </c>
      <c r="B139" s="1" t="s">
        <v>314</v>
      </c>
      <c r="C139" s="1" t="s">
        <v>30</v>
      </c>
      <c r="D139" s="1" t="s">
        <v>22</v>
      </c>
      <c r="E139" s="1" t="s">
        <v>23</v>
      </c>
      <c r="F139" s="1" t="s">
        <v>24</v>
      </c>
      <c r="G139" s="1">
        <v>6</v>
      </c>
      <c r="H139" s="1">
        <v>12000</v>
      </c>
      <c r="I139" s="1">
        <v>10</v>
      </c>
      <c r="J139" s="1">
        <v>64800</v>
      </c>
      <c r="K139" s="1">
        <v>15533.58</v>
      </c>
      <c r="L139" s="1" t="str">
        <f>IF(K139&gt;=15000,"High Profit","Low Profit")</f>
        <v>High Profit</v>
      </c>
      <c r="M139" s="1">
        <f>YEAR(B139)</f>
        <v>2026</v>
      </c>
      <c r="N139" s="1" t="str">
        <f>TEXT(B139,"mmmm")</f>
        <v>February</v>
      </c>
      <c r="O139" s="1" t="str">
        <f>IF(J139&gt;=100000,"Excellent", IF(J139&gt;=50000,"Good","Average"))</f>
        <v>Good</v>
      </c>
      <c r="P139" s="1">
        <f>(H139*G139)*(I139/100)</f>
        <v>7200</v>
      </c>
      <c r="Q139" s="1">
        <f ca="1">J139-Q139</f>
        <v>0</v>
      </c>
    </row>
    <row r="140" spans="1:17" x14ac:dyDescent="0.25">
      <c r="A140" s="1">
        <v>1002</v>
      </c>
      <c r="B140" s="1" t="s">
        <v>16</v>
      </c>
      <c r="C140" s="1" t="s">
        <v>12</v>
      </c>
      <c r="D140" s="1" t="s">
        <v>17</v>
      </c>
      <c r="E140" s="1" t="s">
        <v>18</v>
      </c>
      <c r="F140" s="1" t="s">
        <v>19</v>
      </c>
      <c r="G140" s="1">
        <v>9</v>
      </c>
      <c r="H140" s="1">
        <v>7000</v>
      </c>
      <c r="I140" s="1">
        <v>0</v>
      </c>
      <c r="J140" s="1">
        <v>63000</v>
      </c>
      <c r="K140" s="1">
        <v>7627.24</v>
      </c>
      <c r="L140" s="1" t="str">
        <f>IF(K140&gt;=15000,"High Profit","Low Profit")</f>
        <v>Low Profit</v>
      </c>
      <c r="M140" s="1">
        <f>YEAR(B140)</f>
        <v>2025</v>
      </c>
      <c r="N140" s="1" t="str">
        <f>TEXT(B140,"mmmm")</f>
        <v>January</v>
      </c>
      <c r="O140" s="1" t="str">
        <f>IF(J140&gt;=100000,"Excellent", IF(J140&gt;=50000,"Good","Average"))</f>
        <v>Good</v>
      </c>
      <c r="P140" s="1">
        <f>(H140*G140)*(I140/100)</f>
        <v>0</v>
      </c>
      <c r="Q140" s="1">
        <f ca="1">J140-Q140</f>
        <v>0</v>
      </c>
    </row>
    <row r="141" spans="1:17" x14ac:dyDescent="0.25">
      <c r="A141" s="1">
        <v>1101</v>
      </c>
      <c r="B141" s="1" t="s">
        <v>124</v>
      </c>
      <c r="C141" s="1" t="s">
        <v>45</v>
      </c>
      <c r="D141" s="1" t="s">
        <v>13</v>
      </c>
      <c r="E141" s="1" t="s">
        <v>18</v>
      </c>
      <c r="F141" s="1" t="s">
        <v>19</v>
      </c>
      <c r="G141" s="1">
        <v>9</v>
      </c>
      <c r="H141" s="1">
        <v>7000</v>
      </c>
      <c r="I141" s="1">
        <v>0</v>
      </c>
      <c r="J141" s="1">
        <v>63000</v>
      </c>
      <c r="K141" s="1">
        <v>6335.79</v>
      </c>
      <c r="L141" s="1" t="str">
        <f>IF(K141&gt;=15000,"High Profit","Low Profit")</f>
        <v>Low Profit</v>
      </c>
      <c r="M141" s="1">
        <f>YEAR(B141)</f>
        <v>2026</v>
      </c>
      <c r="N141" s="1" t="str">
        <f>TEXT(B141,"mmmm")</f>
        <v>January</v>
      </c>
      <c r="O141" s="1" t="str">
        <f>IF(J141&gt;=100000,"Excellent", IF(J141&gt;=50000,"Good","Average"))</f>
        <v>Good</v>
      </c>
      <c r="P141" s="1">
        <f>(H141*G141)*(I141/100)</f>
        <v>0</v>
      </c>
      <c r="Q141" s="1">
        <f ca="1">J141-Q141</f>
        <v>0</v>
      </c>
    </row>
    <row r="142" spans="1:17" x14ac:dyDescent="0.25">
      <c r="A142" s="1">
        <v>1156</v>
      </c>
      <c r="B142" s="1" t="s">
        <v>111</v>
      </c>
      <c r="C142" s="1" t="s">
        <v>26</v>
      </c>
      <c r="D142" s="1" t="s">
        <v>17</v>
      </c>
      <c r="E142" s="1" t="s">
        <v>18</v>
      </c>
      <c r="F142" s="1" t="s">
        <v>19</v>
      </c>
      <c r="G142" s="1">
        <v>9</v>
      </c>
      <c r="H142" s="1">
        <v>7000</v>
      </c>
      <c r="I142" s="1">
        <v>0</v>
      </c>
      <c r="J142" s="1">
        <v>63000</v>
      </c>
      <c r="K142" s="1">
        <v>12090.3</v>
      </c>
      <c r="L142" s="1" t="str">
        <f>IF(K142&gt;=15000,"High Profit","Low Profit")</f>
        <v>Low Profit</v>
      </c>
      <c r="M142" s="1">
        <f>YEAR(B142)</f>
        <v>2025</v>
      </c>
      <c r="N142" s="1" t="str">
        <f>TEXT(B142,"mmmm")</f>
        <v>July</v>
      </c>
      <c r="O142" s="1" t="str">
        <f>IF(J142&gt;=100000,"Excellent", IF(J142&gt;=50000,"Good","Average"))</f>
        <v>Good</v>
      </c>
      <c r="P142" s="1">
        <f>(H142*G142)*(I142/100)</f>
        <v>0</v>
      </c>
      <c r="Q142" s="1">
        <f ca="1">J142-Q142</f>
        <v>0</v>
      </c>
    </row>
    <row r="143" spans="1:17" x14ac:dyDescent="0.25">
      <c r="A143" s="1">
        <v>1281</v>
      </c>
      <c r="B143" s="1" t="s">
        <v>199</v>
      </c>
      <c r="C143" s="1" t="s">
        <v>12</v>
      </c>
      <c r="D143" s="1" t="s">
        <v>27</v>
      </c>
      <c r="E143" s="1" t="s">
        <v>18</v>
      </c>
      <c r="F143" s="1" t="s">
        <v>19</v>
      </c>
      <c r="G143" s="1">
        <v>9</v>
      </c>
      <c r="H143" s="1">
        <v>7000</v>
      </c>
      <c r="I143" s="1">
        <v>0</v>
      </c>
      <c r="J143" s="1">
        <v>63000</v>
      </c>
      <c r="K143" s="1">
        <v>15578.98</v>
      </c>
      <c r="L143" s="1" t="str">
        <f>IF(K143&gt;=15000,"High Profit","Low Profit")</f>
        <v>High Profit</v>
      </c>
      <c r="M143" s="1">
        <f>YEAR(B143)</f>
        <v>2026</v>
      </c>
      <c r="N143" s="1" t="str">
        <f>TEXT(B143,"mmmm")</f>
        <v>April</v>
      </c>
      <c r="O143" s="1" t="str">
        <f>IF(J143&gt;=100000,"Excellent", IF(J143&gt;=50000,"Good","Average"))</f>
        <v>Good</v>
      </c>
      <c r="P143" s="1">
        <f>(H143*G143)*(I143/100)</f>
        <v>0</v>
      </c>
      <c r="Q143" s="1">
        <f ca="1">J143-Q143</f>
        <v>0</v>
      </c>
    </row>
    <row r="144" spans="1:17" x14ac:dyDescent="0.25">
      <c r="A144" s="1">
        <v>1305</v>
      </c>
      <c r="B144" s="1" t="s">
        <v>265</v>
      </c>
      <c r="C144" s="1" t="s">
        <v>32</v>
      </c>
      <c r="D144" s="1" t="s">
        <v>17</v>
      </c>
      <c r="E144" s="1" t="s">
        <v>18</v>
      </c>
      <c r="F144" s="1" t="s">
        <v>19</v>
      </c>
      <c r="G144" s="1">
        <v>9</v>
      </c>
      <c r="H144" s="1">
        <v>7000</v>
      </c>
      <c r="I144" s="1">
        <v>0</v>
      </c>
      <c r="J144" s="1">
        <v>63000</v>
      </c>
      <c r="K144" s="1">
        <v>10255.200000000001</v>
      </c>
      <c r="L144" s="1" t="str">
        <f>IF(K144&gt;=15000,"High Profit","Low Profit")</f>
        <v>Low Profit</v>
      </c>
      <c r="M144" s="1">
        <f>YEAR(B144)</f>
        <v>2025</v>
      </c>
      <c r="N144" s="1" t="str">
        <f>TEXT(B144,"mmmm")</f>
        <v>August</v>
      </c>
      <c r="O144" s="1" t="str">
        <f>IF(J144&gt;=100000,"Excellent", IF(J144&gt;=50000,"Good","Average"))</f>
        <v>Good</v>
      </c>
      <c r="P144" s="1">
        <f>(H144*G144)*(I144/100)</f>
        <v>0</v>
      </c>
      <c r="Q144" s="1">
        <f ca="1">J144-Q144</f>
        <v>0</v>
      </c>
    </row>
    <row r="145" spans="1:17" x14ac:dyDescent="0.25">
      <c r="A145" s="1">
        <v>1437</v>
      </c>
      <c r="B145" s="1" t="s">
        <v>324</v>
      </c>
      <c r="C145" s="1" t="s">
        <v>39</v>
      </c>
      <c r="D145" s="1" t="s">
        <v>22</v>
      </c>
      <c r="E145" s="1" t="s">
        <v>18</v>
      </c>
      <c r="F145" s="1" t="s">
        <v>19</v>
      </c>
      <c r="G145" s="1">
        <v>10</v>
      </c>
      <c r="H145" s="1">
        <v>7000</v>
      </c>
      <c r="I145" s="1">
        <v>10</v>
      </c>
      <c r="J145" s="1">
        <v>63000</v>
      </c>
      <c r="K145" s="1">
        <v>6582.12</v>
      </c>
      <c r="L145" s="1" t="str">
        <f>IF(K145&gt;=15000,"High Profit","Low Profit")</f>
        <v>Low Profit</v>
      </c>
      <c r="M145" s="1">
        <f>YEAR(B145)</f>
        <v>2025</v>
      </c>
      <c r="N145" s="1" t="str">
        <f>TEXT(B145,"mmmm")</f>
        <v>September</v>
      </c>
      <c r="O145" s="1" t="str">
        <f>IF(J145&gt;=100000,"Excellent", IF(J145&gt;=50000,"Good","Average"))</f>
        <v>Good</v>
      </c>
      <c r="P145" s="1">
        <f>(H145*G145)*(I145/100)</f>
        <v>7000</v>
      </c>
      <c r="Q145" s="1">
        <f ca="1">J145-Q145</f>
        <v>0</v>
      </c>
    </row>
    <row r="146" spans="1:17" x14ac:dyDescent="0.25">
      <c r="A146" s="1">
        <v>1459</v>
      </c>
      <c r="B146" s="1" t="s">
        <v>333</v>
      </c>
      <c r="C146" s="1" t="s">
        <v>12</v>
      </c>
      <c r="D146" s="1" t="s">
        <v>17</v>
      </c>
      <c r="E146" s="1" t="s">
        <v>43</v>
      </c>
      <c r="F146" s="1" t="s">
        <v>24</v>
      </c>
      <c r="G146" s="1">
        <v>7</v>
      </c>
      <c r="H146" s="1">
        <v>9000</v>
      </c>
      <c r="I146" s="1">
        <v>0</v>
      </c>
      <c r="J146" s="1">
        <v>63000</v>
      </c>
      <c r="K146" s="1">
        <v>10564.85</v>
      </c>
      <c r="L146" s="1" t="str">
        <f>IF(K146&gt;=15000,"High Profit","Low Profit")</f>
        <v>Low Profit</v>
      </c>
      <c r="M146" s="1">
        <f>YEAR(B146)</f>
        <v>2025</v>
      </c>
      <c r="N146" s="1" t="str">
        <f>TEXT(B146,"mmmm")</f>
        <v>July</v>
      </c>
      <c r="O146" s="1" t="str">
        <f>IF(J146&gt;=100000,"Excellent", IF(J146&gt;=50000,"Good","Average"))</f>
        <v>Good</v>
      </c>
      <c r="P146" s="1">
        <f>(H146*G146)*(I146/100)</f>
        <v>0</v>
      </c>
      <c r="Q146" s="1">
        <f ca="1">J146-Q146</f>
        <v>0</v>
      </c>
    </row>
    <row r="147" spans="1:17" x14ac:dyDescent="0.25">
      <c r="A147" s="1">
        <v>1021</v>
      </c>
      <c r="B147" s="1" t="s">
        <v>52</v>
      </c>
      <c r="C147" s="1" t="s">
        <v>47</v>
      </c>
      <c r="D147" s="1" t="s">
        <v>13</v>
      </c>
      <c r="E147" s="1" t="s">
        <v>43</v>
      </c>
      <c r="F147" s="1" t="s">
        <v>24</v>
      </c>
      <c r="G147" s="1">
        <v>8</v>
      </c>
      <c r="H147" s="1">
        <v>9000</v>
      </c>
      <c r="I147" s="1">
        <v>15</v>
      </c>
      <c r="J147" s="1">
        <v>61200</v>
      </c>
      <c r="K147" s="1">
        <v>5803.71</v>
      </c>
      <c r="L147" s="1" t="str">
        <f>IF(K147&gt;=15000,"High Profit","Low Profit")</f>
        <v>Low Profit</v>
      </c>
      <c r="M147" s="1">
        <f>YEAR(B147)</f>
        <v>2025</v>
      </c>
      <c r="N147" s="1" t="str">
        <f>TEXT(B147,"mmmm")</f>
        <v>September</v>
      </c>
      <c r="O147" s="1" t="str">
        <f>IF(J147&gt;=100000,"Excellent", IF(J147&gt;=50000,"Good","Average"))</f>
        <v>Good</v>
      </c>
      <c r="P147" s="1">
        <f>(H147*G147)*(I147/100)</f>
        <v>10800</v>
      </c>
      <c r="Q147" s="1">
        <f ca="1">J147-Q147</f>
        <v>0</v>
      </c>
    </row>
    <row r="148" spans="1:17" x14ac:dyDescent="0.25">
      <c r="A148" s="1">
        <v>1065</v>
      </c>
      <c r="B148" s="1" t="s">
        <v>90</v>
      </c>
      <c r="C148" s="1" t="s">
        <v>32</v>
      </c>
      <c r="D148" s="1" t="s">
        <v>22</v>
      </c>
      <c r="E148" s="1" t="s">
        <v>43</v>
      </c>
      <c r="F148" s="1" t="s">
        <v>24</v>
      </c>
      <c r="G148" s="1">
        <v>8</v>
      </c>
      <c r="H148" s="1">
        <v>9000</v>
      </c>
      <c r="I148" s="1">
        <v>15</v>
      </c>
      <c r="J148" s="1">
        <v>61200</v>
      </c>
      <c r="K148" s="1">
        <v>8892.92</v>
      </c>
      <c r="L148" s="1" t="str">
        <f>IF(K148&gt;=15000,"High Profit","Low Profit")</f>
        <v>Low Profit</v>
      </c>
      <c r="M148" s="1">
        <f>YEAR(B148)</f>
        <v>2025</v>
      </c>
      <c r="N148" s="1" t="str">
        <f>TEXT(B148,"mmmm")</f>
        <v>March</v>
      </c>
      <c r="O148" s="1" t="str">
        <f>IF(J148&gt;=100000,"Excellent", IF(J148&gt;=50000,"Good","Average"))</f>
        <v>Good</v>
      </c>
      <c r="P148" s="1">
        <f>(H148*G148)*(I148/100)</f>
        <v>10800</v>
      </c>
      <c r="Q148" s="1">
        <f ca="1">J148-Q148</f>
        <v>0</v>
      </c>
    </row>
    <row r="149" spans="1:17" x14ac:dyDescent="0.25">
      <c r="A149" s="1">
        <v>1160</v>
      </c>
      <c r="B149" s="1" t="s">
        <v>170</v>
      </c>
      <c r="C149" s="1" t="s">
        <v>41</v>
      </c>
      <c r="D149" s="1" t="s">
        <v>13</v>
      </c>
      <c r="E149" s="1" t="s">
        <v>43</v>
      </c>
      <c r="F149" s="1" t="s">
        <v>24</v>
      </c>
      <c r="G149" s="1">
        <v>8</v>
      </c>
      <c r="H149" s="1">
        <v>9000</v>
      </c>
      <c r="I149" s="1">
        <v>15</v>
      </c>
      <c r="J149" s="1">
        <v>61200</v>
      </c>
      <c r="K149" s="1">
        <v>7833.21</v>
      </c>
      <c r="L149" s="1" t="str">
        <f>IF(K149&gt;=15000,"High Profit","Low Profit")</f>
        <v>Low Profit</v>
      </c>
      <c r="M149" s="1">
        <f>YEAR(B149)</f>
        <v>2025</v>
      </c>
      <c r="N149" s="1" t="str">
        <f>TEXT(B149,"mmmm")</f>
        <v>August</v>
      </c>
      <c r="O149" s="1" t="str">
        <f>IF(J149&gt;=100000,"Excellent", IF(J149&gt;=50000,"Good","Average"))</f>
        <v>Good</v>
      </c>
      <c r="P149" s="1">
        <f>(H149*G149)*(I149/100)</f>
        <v>10800</v>
      </c>
      <c r="Q149" s="1">
        <f ca="1">J149-Q149</f>
        <v>0</v>
      </c>
    </row>
    <row r="150" spans="1:17" x14ac:dyDescent="0.25">
      <c r="A150" s="1">
        <v>1372</v>
      </c>
      <c r="B150" s="1" t="s">
        <v>279</v>
      </c>
      <c r="C150" s="1" t="s">
        <v>36</v>
      </c>
      <c r="D150" s="1" t="s">
        <v>17</v>
      </c>
      <c r="E150" s="1" t="s">
        <v>23</v>
      </c>
      <c r="F150" s="1" t="s">
        <v>24</v>
      </c>
      <c r="G150" s="1">
        <v>6</v>
      </c>
      <c r="H150" s="1">
        <v>12000</v>
      </c>
      <c r="I150" s="1">
        <v>15</v>
      </c>
      <c r="J150" s="1">
        <v>61200</v>
      </c>
      <c r="K150" s="1">
        <v>10939.01</v>
      </c>
      <c r="L150" s="1" t="str">
        <f>IF(K150&gt;=15000,"High Profit","Low Profit")</f>
        <v>Low Profit</v>
      </c>
      <c r="M150" s="1">
        <f>YEAR(B150)</f>
        <v>2025</v>
      </c>
      <c r="N150" s="1" t="str">
        <f>TEXT(B150,"mmmm")</f>
        <v>September</v>
      </c>
      <c r="O150" s="1" t="str">
        <f>IF(J150&gt;=100000,"Excellent", IF(J150&gt;=50000,"Good","Average"))</f>
        <v>Good</v>
      </c>
      <c r="P150" s="1">
        <f>(H150*G150)*(I150/100)</f>
        <v>10800</v>
      </c>
      <c r="Q150" s="1">
        <f ca="1">J150-Q150</f>
        <v>0</v>
      </c>
    </row>
    <row r="151" spans="1:17" x14ac:dyDescent="0.25">
      <c r="A151" s="1">
        <v>1431</v>
      </c>
      <c r="B151" s="1" t="s">
        <v>215</v>
      </c>
      <c r="C151" s="1" t="s">
        <v>26</v>
      </c>
      <c r="D151" s="1" t="s">
        <v>27</v>
      </c>
      <c r="E151" s="1" t="s">
        <v>43</v>
      </c>
      <c r="F151" s="1" t="s">
        <v>24</v>
      </c>
      <c r="G151" s="1">
        <v>8</v>
      </c>
      <c r="H151" s="1">
        <v>9000</v>
      </c>
      <c r="I151" s="1">
        <v>15</v>
      </c>
      <c r="J151" s="1">
        <v>61200</v>
      </c>
      <c r="K151" s="1">
        <v>15089.71</v>
      </c>
      <c r="L151" s="1" t="str">
        <f>IF(K151&gt;=15000,"High Profit","Low Profit")</f>
        <v>High Profit</v>
      </c>
      <c r="M151" s="1">
        <f>YEAR(B151)</f>
        <v>2025</v>
      </c>
      <c r="N151" s="1" t="str">
        <f>TEXT(B151,"mmmm")</f>
        <v>February</v>
      </c>
      <c r="O151" s="1" t="str">
        <f>IF(J151&gt;=100000,"Excellent", IF(J151&gt;=50000,"Good","Average"))</f>
        <v>Good</v>
      </c>
      <c r="P151" s="1">
        <f>(H151*G151)*(I151/100)</f>
        <v>10800</v>
      </c>
      <c r="Q151" s="1">
        <f ca="1">J151-Q151</f>
        <v>0</v>
      </c>
    </row>
    <row r="152" spans="1:17" x14ac:dyDescent="0.25">
      <c r="A152" s="1">
        <v>1467</v>
      </c>
      <c r="B152" s="1" t="s">
        <v>278</v>
      </c>
      <c r="C152" s="1" t="s">
        <v>21</v>
      </c>
      <c r="D152" s="1" t="s">
        <v>22</v>
      </c>
      <c r="E152" s="1" t="s">
        <v>43</v>
      </c>
      <c r="F152" s="1" t="s">
        <v>24</v>
      </c>
      <c r="G152" s="1">
        <v>8</v>
      </c>
      <c r="H152" s="1">
        <v>9000</v>
      </c>
      <c r="I152" s="1">
        <v>15</v>
      </c>
      <c r="J152" s="1">
        <v>61200</v>
      </c>
      <c r="K152" s="1">
        <v>7281.58</v>
      </c>
      <c r="L152" s="1" t="str">
        <f>IF(K152&gt;=15000,"High Profit","Low Profit")</f>
        <v>Low Profit</v>
      </c>
      <c r="M152" s="1">
        <f>YEAR(B152)</f>
        <v>2025</v>
      </c>
      <c r="N152" s="1" t="str">
        <f>TEXT(B152,"mmmm")</f>
        <v>June</v>
      </c>
      <c r="O152" s="1" t="str">
        <f>IF(J152&gt;=100000,"Excellent", IF(J152&gt;=50000,"Good","Average"))</f>
        <v>Good</v>
      </c>
      <c r="P152" s="1">
        <f>(H152*G152)*(I152/100)</f>
        <v>10800</v>
      </c>
      <c r="Q152" s="1">
        <f ca="1">J152-Q152</f>
        <v>0</v>
      </c>
    </row>
    <row r="153" spans="1:17" x14ac:dyDescent="0.25">
      <c r="A153" s="1">
        <v>1078</v>
      </c>
      <c r="B153" s="1" t="s">
        <v>103</v>
      </c>
      <c r="C153" s="1" t="s">
        <v>45</v>
      </c>
      <c r="D153" s="1" t="s">
        <v>27</v>
      </c>
      <c r="E153" s="1" t="s">
        <v>23</v>
      </c>
      <c r="F153" s="1" t="s">
        <v>24</v>
      </c>
      <c r="G153" s="1">
        <v>5</v>
      </c>
      <c r="H153" s="1">
        <v>12000</v>
      </c>
      <c r="I153" s="1">
        <v>0</v>
      </c>
      <c r="J153" s="1">
        <v>60000</v>
      </c>
      <c r="K153" s="1">
        <v>14025.31</v>
      </c>
      <c r="L153" s="1" t="str">
        <f>IF(K153&gt;=15000,"High Profit","Low Profit")</f>
        <v>Low Profit</v>
      </c>
      <c r="M153" s="1">
        <f>YEAR(B153)</f>
        <v>2025</v>
      </c>
      <c r="N153" s="1" t="str">
        <f>TEXT(B153,"mmmm")</f>
        <v>October</v>
      </c>
      <c r="O153" s="1" t="str">
        <f>IF(J153&gt;=100000,"Excellent", IF(J153&gt;=50000,"Good","Average"))</f>
        <v>Good</v>
      </c>
      <c r="P153" s="1">
        <f>(H153*G153)*(I153/100)</f>
        <v>0</v>
      </c>
      <c r="Q153" s="1">
        <f ca="1">J153-Q153</f>
        <v>0</v>
      </c>
    </row>
    <row r="154" spans="1:17" x14ac:dyDescent="0.25">
      <c r="A154" s="1">
        <v>1090</v>
      </c>
      <c r="B154" s="1" t="s">
        <v>114</v>
      </c>
      <c r="C154" s="1" t="s">
        <v>36</v>
      </c>
      <c r="D154" s="1" t="s">
        <v>22</v>
      </c>
      <c r="E154" s="1" t="s">
        <v>23</v>
      </c>
      <c r="F154" s="1" t="s">
        <v>24</v>
      </c>
      <c r="G154" s="1">
        <v>5</v>
      </c>
      <c r="H154" s="1">
        <v>12000</v>
      </c>
      <c r="I154" s="1">
        <v>0</v>
      </c>
      <c r="J154" s="1">
        <v>60000</v>
      </c>
      <c r="K154" s="1">
        <v>5011.51</v>
      </c>
      <c r="L154" s="1" t="str">
        <f>IF(K154&gt;=15000,"High Profit","Low Profit")</f>
        <v>Low Profit</v>
      </c>
      <c r="M154" s="1">
        <f>YEAR(B154)</f>
        <v>2025</v>
      </c>
      <c r="N154" s="1" t="str">
        <f>TEXT(B154,"mmmm")</f>
        <v>February</v>
      </c>
      <c r="O154" s="1" t="str">
        <f>IF(J154&gt;=100000,"Excellent", IF(J154&gt;=50000,"Good","Average"))</f>
        <v>Good</v>
      </c>
      <c r="P154" s="1">
        <f>(H154*G154)*(I154/100)</f>
        <v>0</v>
      </c>
      <c r="Q154" s="1">
        <f ca="1">J154-Q154</f>
        <v>0</v>
      </c>
    </row>
    <row r="155" spans="1:17" x14ac:dyDescent="0.25">
      <c r="A155" s="1">
        <v>1179</v>
      </c>
      <c r="B155" s="1" t="s">
        <v>184</v>
      </c>
      <c r="C155" s="1" t="s">
        <v>39</v>
      </c>
      <c r="D155" s="1" t="s">
        <v>13</v>
      </c>
      <c r="E155" s="1" t="s">
        <v>23</v>
      </c>
      <c r="F155" s="1" t="s">
        <v>24</v>
      </c>
      <c r="G155" s="1">
        <v>5</v>
      </c>
      <c r="H155" s="1">
        <v>12000</v>
      </c>
      <c r="I155" s="1">
        <v>0</v>
      </c>
      <c r="J155" s="1">
        <v>60000</v>
      </c>
      <c r="K155" s="1">
        <v>14927.09</v>
      </c>
      <c r="L155" s="1" t="str">
        <f>IF(K155&gt;=15000,"High Profit","Low Profit")</f>
        <v>Low Profit</v>
      </c>
      <c r="M155" s="1">
        <f>YEAR(B155)</f>
        <v>2025</v>
      </c>
      <c r="N155" s="1" t="str">
        <f>TEXT(B155,"mmmm")</f>
        <v>April</v>
      </c>
      <c r="O155" s="1" t="str">
        <f>IF(J155&gt;=100000,"Excellent", IF(J155&gt;=50000,"Good","Average"))</f>
        <v>Good</v>
      </c>
      <c r="P155" s="1">
        <f>(H155*G155)*(I155/100)</f>
        <v>0</v>
      </c>
      <c r="Q155" s="1">
        <f ca="1">J155-Q155</f>
        <v>0</v>
      </c>
    </row>
    <row r="156" spans="1:17" x14ac:dyDescent="0.25">
      <c r="A156" s="1">
        <v>1188</v>
      </c>
      <c r="B156" s="1" t="s">
        <v>190</v>
      </c>
      <c r="C156" s="1" t="s">
        <v>26</v>
      </c>
      <c r="D156" s="1" t="s">
        <v>27</v>
      </c>
      <c r="E156" s="1" t="s">
        <v>23</v>
      </c>
      <c r="F156" s="1" t="s">
        <v>24</v>
      </c>
      <c r="G156" s="1">
        <v>5</v>
      </c>
      <c r="H156" s="1">
        <v>12000</v>
      </c>
      <c r="I156" s="1">
        <v>0</v>
      </c>
      <c r="J156" s="1">
        <v>60000</v>
      </c>
      <c r="K156" s="1">
        <v>13676.39</v>
      </c>
      <c r="L156" s="1" t="str">
        <f>IF(K156&gt;=15000,"High Profit","Low Profit")</f>
        <v>Low Profit</v>
      </c>
      <c r="M156" s="1">
        <f>YEAR(B156)</f>
        <v>2026</v>
      </c>
      <c r="N156" s="1" t="str">
        <f>TEXT(B156,"mmmm")</f>
        <v>May</v>
      </c>
      <c r="O156" s="1" t="str">
        <f>IF(J156&gt;=100000,"Excellent", IF(J156&gt;=50000,"Good","Average"))</f>
        <v>Good</v>
      </c>
      <c r="P156" s="1">
        <f>(H156*G156)*(I156/100)</f>
        <v>0</v>
      </c>
      <c r="Q156" s="1">
        <f ca="1">J156-Q156</f>
        <v>0</v>
      </c>
    </row>
    <row r="157" spans="1:17" x14ac:dyDescent="0.25">
      <c r="A157" s="1">
        <v>1449</v>
      </c>
      <c r="B157" s="1" t="s">
        <v>229</v>
      </c>
      <c r="C157" s="1" t="s">
        <v>36</v>
      </c>
      <c r="D157" s="1" t="s">
        <v>27</v>
      </c>
      <c r="E157" s="1" t="s">
        <v>23</v>
      </c>
      <c r="F157" s="1" t="s">
        <v>24</v>
      </c>
      <c r="G157" s="1">
        <v>5</v>
      </c>
      <c r="H157" s="1">
        <v>12000</v>
      </c>
      <c r="I157" s="1">
        <v>0</v>
      </c>
      <c r="J157" s="1">
        <v>60000</v>
      </c>
      <c r="K157" s="1">
        <v>12188.74</v>
      </c>
      <c r="L157" s="1" t="str">
        <f>IF(K157&gt;=15000,"High Profit","Low Profit")</f>
        <v>Low Profit</v>
      </c>
      <c r="M157" s="1">
        <f>YEAR(B157)</f>
        <v>2026</v>
      </c>
      <c r="N157" s="1" t="str">
        <f>TEXT(B157,"mmmm")</f>
        <v>January</v>
      </c>
      <c r="O157" s="1" t="str">
        <f>IF(J157&gt;=100000,"Excellent", IF(J157&gt;=50000,"Good","Average"))</f>
        <v>Good</v>
      </c>
      <c r="P157" s="1">
        <f>(H157*G157)*(I157/100)</f>
        <v>0</v>
      </c>
      <c r="Q157" s="1">
        <f ca="1">J157-Q157</f>
        <v>0</v>
      </c>
    </row>
    <row r="158" spans="1:17" x14ac:dyDescent="0.25">
      <c r="A158" s="1">
        <v>1220</v>
      </c>
      <c r="B158" s="1" t="s">
        <v>130</v>
      </c>
      <c r="C158" s="1" t="s">
        <v>26</v>
      </c>
      <c r="D158" s="1" t="s">
        <v>22</v>
      </c>
      <c r="E158" s="1" t="s">
        <v>43</v>
      </c>
      <c r="F158" s="1" t="s">
        <v>24</v>
      </c>
      <c r="G158" s="1">
        <v>7</v>
      </c>
      <c r="H158" s="1">
        <v>9000</v>
      </c>
      <c r="I158" s="1">
        <v>5</v>
      </c>
      <c r="J158" s="1">
        <v>59850</v>
      </c>
      <c r="K158" s="1">
        <v>6888.88</v>
      </c>
      <c r="L158" s="1" t="str">
        <f>IF(K158&gt;=15000,"High Profit","Low Profit")</f>
        <v>Low Profit</v>
      </c>
      <c r="M158" s="1">
        <f>YEAR(B158)</f>
        <v>2026</v>
      </c>
      <c r="N158" s="1" t="str">
        <f>TEXT(B158,"mmmm")</f>
        <v>February</v>
      </c>
      <c r="O158" s="1" t="str">
        <f>IF(J158&gt;=100000,"Excellent", IF(J158&gt;=50000,"Good","Average"))</f>
        <v>Good</v>
      </c>
      <c r="P158" s="1">
        <f>(H158*G158)*(I158/100)</f>
        <v>3150</v>
      </c>
      <c r="Q158" s="1">
        <f ca="1">J158-Q158</f>
        <v>0</v>
      </c>
    </row>
    <row r="159" spans="1:17" x14ac:dyDescent="0.25">
      <c r="A159" s="1">
        <v>1258</v>
      </c>
      <c r="B159" s="1" t="s">
        <v>237</v>
      </c>
      <c r="C159" s="1" t="s">
        <v>21</v>
      </c>
      <c r="D159" s="1" t="s">
        <v>22</v>
      </c>
      <c r="E159" s="1" t="s">
        <v>43</v>
      </c>
      <c r="F159" s="1" t="s">
        <v>24</v>
      </c>
      <c r="G159" s="1">
        <v>7</v>
      </c>
      <c r="H159" s="1">
        <v>9000</v>
      </c>
      <c r="I159" s="1">
        <v>5</v>
      </c>
      <c r="J159" s="1">
        <v>59850</v>
      </c>
      <c r="K159" s="1">
        <v>14621.35</v>
      </c>
      <c r="L159" s="1" t="str">
        <f>IF(K159&gt;=15000,"High Profit","Low Profit")</f>
        <v>Low Profit</v>
      </c>
      <c r="M159" s="1">
        <f>YEAR(B159)</f>
        <v>2025</v>
      </c>
      <c r="N159" s="1" t="str">
        <f>TEXT(B159,"mmmm")</f>
        <v>April</v>
      </c>
      <c r="O159" s="1" t="str">
        <f>IF(J159&gt;=100000,"Excellent", IF(J159&gt;=50000,"Good","Average"))</f>
        <v>Good</v>
      </c>
      <c r="P159" s="1">
        <f>(H159*G159)*(I159/100)</f>
        <v>3150</v>
      </c>
      <c r="Q159" s="1">
        <f ca="1">J159-Q159</f>
        <v>0</v>
      </c>
    </row>
    <row r="160" spans="1:17" x14ac:dyDescent="0.25">
      <c r="A160" s="1">
        <v>1474</v>
      </c>
      <c r="B160" s="1" t="s">
        <v>145</v>
      </c>
      <c r="C160" s="1" t="s">
        <v>26</v>
      </c>
      <c r="D160" s="1" t="s">
        <v>17</v>
      </c>
      <c r="E160" s="1" t="s">
        <v>18</v>
      </c>
      <c r="F160" s="1" t="s">
        <v>19</v>
      </c>
      <c r="G160" s="1">
        <v>9</v>
      </c>
      <c r="H160" s="1">
        <v>7000</v>
      </c>
      <c r="I160" s="1">
        <v>5</v>
      </c>
      <c r="J160" s="1">
        <v>59850</v>
      </c>
      <c r="K160" s="1">
        <v>14922.82</v>
      </c>
      <c r="L160" s="1" t="str">
        <f>IF(K160&gt;=15000,"High Profit","Low Profit")</f>
        <v>Low Profit</v>
      </c>
      <c r="M160" s="1">
        <f>YEAR(B160)</f>
        <v>2025</v>
      </c>
      <c r="N160" s="1" t="str">
        <f>TEXT(B160,"mmmm")</f>
        <v>May</v>
      </c>
      <c r="O160" s="1" t="str">
        <f>IF(J160&gt;=100000,"Excellent", IF(J160&gt;=50000,"Good","Average"))</f>
        <v>Good</v>
      </c>
      <c r="P160" s="1">
        <f>(H160*G160)*(I160/100)</f>
        <v>3150</v>
      </c>
      <c r="Q160" s="1">
        <f ca="1">J160-Q160</f>
        <v>0</v>
      </c>
    </row>
    <row r="161" spans="1:17" x14ac:dyDescent="0.25">
      <c r="A161" s="1">
        <v>1010</v>
      </c>
      <c r="B161" s="1" t="s">
        <v>37</v>
      </c>
      <c r="C161" s="1" t="s">
        <v>12</v>
      </c>
      <c r="D161" s="1" t="s">
        <v>22</v>
      </c>
      <c r="E161" s="1" t="s">
        <v>18</v>
      </c>
      <c r="F161" s="1" t="s">
        <v>19</v>
      </c>
      <c r="G161" s="1">
        <v>10</v>
      </c>
      <c r="H161" s="1">
        <v>7000</v>
      </c>
      <c r="I161" s="1">
        <v>15</v>
      </c>
      <c r="J161" s="1">
        <v>59500</v>
      </c>
      <c r="K161" s="1">
        <v>8828.7800000000007</v>
      </c>
      <c r="L161" s="1" t="str">
        <f>IF(K161&gt;=15000,"High Profit","Low Profit")</f>
        <v>Low Profit</v>
      </c>
      <c r="M161" s="1">
        <f>YEAR(B161)</f>
        <v>2026</v>
      </c>
      <c r="N161" s="1" t="str">
        <f>TEXT(B161,"mmmm")</f>
        <v>June</v>
      </c>
      <c r="O161" s="1" t="str">
        <f>IF(J161&gt;=100000,"Excellent", IF(J161&gt;=50000,"Good","Average"))</f>
        <v>Good</v>
      </c>
      <c r="P161" s="1">
        <f>(H161*G161)*(I161/100)</f>
        <v>10500</v>
      </c>
      <c r="Q161" s="1">
        <f ca="1">J161-Q161</f>
        <v>0</v>
      </c>
    </row>
    <row r="162" spans="1:17" x14ac:dyDescent="0.25">
      <c r="A162" s="1">
        <v>1079</v>
      </c>
      <c r="B162" s="1" t="s">
        <v>104</v>
      </c>
      <c r="C162" s="1" t="s">
        <v>39</v>
      </c>
      <c r="D162" s="1" t="s">
        <v>27</v>
      </c>
      <c r="E162" s="1" t="s">
        <v>23</v>
      </c>
      <c r="F162" s="1" t="s">
        <v>24</v>
      </c>
      <c r="G162" s="1">
        <v>6</v>
      </c>
      <c r="H162" s="1">
        <v>12000</v>
      </c>
      <c r="I162" s="1">
        <v>20</v>
      </c>
      <c r="J162" s="1">
        <v>57600</v>
      </c>
      <c r="K162" s="1">
        <v>9800.57</v>
      </c>
      <c r="L162" s="1" t="str">
        <f>IF(K162&gt;=15000,"High Profit","Low Profit")</f>
        <v>Low Profit</v>
      </c>
      <c r="M162" s="1">
        <f>YEAR(B162)</f>
        <v>2026</v>
      </c>
      <c r="N162" s="1" t="str">
        <f>TEXT(B162,"mmmm")</f>
        <v>June</v>
      </c>
      <c r="O162" s="1" t="str">
        <f>IF(J162&gt;=100000,"Excellent", IF(J162&gt;=50000,"Good","Average"))</f>
        <v>Good</v>
      </c>
      <c r="P162" s="1">
        <f>(H162*G162)*(I162/100)</f>
        <v>14400</v>
      </c>
      <c r="Q162" s="1">
        <f ca="1">J162-Q162</f>
        <v>0</v>
      </c>
    </row>
    <row r="163" spans="1:17" x14ac:dyDescent="0.25">
      <c r="A163" s="1">
        <v>1272</v>
      </c>
      <c r="B163" s="1" t="s">
        <v>244</v>
      </c>
      <c r="C163" s="1" t="s">
        <v>45</v>
      </c>
      <c r="D163" s="1" t="s">
        <v>17</v>
      </c>
      <c r="E163" s="1" t="s">
        <v>43</v>
      </c>
      <c r="F163" s="1" t="s">
        <v>24</v>
      </c>
      <c r="G163" s="1">
        <v>8</v>
      </c>
      <c r="H163" s="1">
        <v>9000</v>
      </c>
      <c r="I163" s="1">
        <v>20</v>
      </c>
      <c r="J163" s="1">
        <v>57600</v>
      </c>
      <c r="K163" s="1">
        <v>12943.8</v>
      </c>
      <c r="L163" s="1" t="str">
        <f>IF(K163&gt;=15000,"High Profit","Low Profit")</f>
        <v>Low Profit</v>
      </c>
      <c r="M163" s="1">
        <f>YEAR(B163)</f>
        <v>2025</v>
      </c>
      <c r="N163" s="1" t="str">
        <f>TEXT(B163,"mmmm")</f>
        <v>February</v>
      </c>
      <c r="O163" s="1" t="str">
        <f>IF(J163&gt;=100000,"Excellent", IF(J163&gt;=50000,"Good","Average"))</f>
        <v>Good</v>
      </c>
      <c r="P163" s="1">
        <f>(H163*G163)*(I163/100)</f>
        <v>14400</v>
      </c>
      <c r="Q163" s="1">
        <f ca="1">J163-Q163</f>
        <v>0</v>
      </c>
    </row>
    <row r="164" spans="1:17" x14ac:dyDescent="0.25">
      <c r="A164" s="1">
        <v>1049</v>
      </c>
      <c r="B164" s="1" t="s">
        <v>71</v>
      </c>
      <c r="C164" s="1" t="s">
        <v>45</v>
      </c>
      <c r="D164" s="1" t="s">
        <v>22</v>
      </c>
      <c r="E164" s="1" t="s">
        <v>23</v>
      </c>
      <c r="F164" s="1" t="s">
        <v>24</v>
      </c>
      <c r="G164" s="1">
        <v>5</v>
      </c>
      <c r="H164" s="1">
        <v>12000</v>
      </c>
      <c r="I164" s="1">
        <v>5</v>
      </c>
      <c r="J164" s="1">
        <v>57000</v>
      </c>
      <c r="K164" s="1">
        <v>7425.53</v>
      </c>
      <c r="L164" s="1" t="str">
        <f>IF(K164&gt;=15000,"High Profit","Low Profit")</f>
        <v>Low Profit</v>
      </c>
      <c r="M164" s="1">
        <f>YEAR(B164)</f>
        <v>2025</v>
      </c>
      <c r="N164" s="1" t="str">
        <f>TEXT(B164,"mmmm")</f>
        <v>June</v>
      </c>
      <c r="O164" s="1" t="str">
        <f>IF(J164&gt;=100000,"Excellent", IF(J164&gt;=50000,"Good","Average"))</f>
        <v>Good</v>
      </c>
      <c r="P164" s="1">
        <f>(H164*G164)*(I164/100)</f>
        <v>3000</v>
      </c>
      <c r="Q164" s="1">
        <f ca="1">J164-Q164</f>
        <v>0</v>
      </c>
    </row>
    <row r="165" spans="1:17" x14ac:dyDescent="0.25">
      <c r="A165" s="1">
        <v>1048</v>
      </c>
      <c r="B165" s="1" t="s">
        <v>75</v>
      </c>
      <c r="C165" s="1" t="s">
        <v>39</v>
      </c>
      <c r="D165" s="1" t="s">
        <v>17</v>
      </c>
      <c r="E165" s="1" t="s">
        <v>18</v>
      </c>
      <c r="F165" s="1" t="s">
        <v>19</v>
      </c>
      <c r="G165" s="1">
        <v>9</v>
      </c>
      <c r="H165" s="1">
        <v>7000</v>
      </c>
      <c r="I165" s="1">
        <v>10</v>
      </c>
      <c r="J165" s="1">
        <v>56700</v>
      </c>
      <c r="K165" s="1">
        <v>6324.16</v>
      </c>
      <c r="L165" s="1" t="str">
        <f>IF(K165&gt;=15000,"High Profit","Low Profit")</f>
        <v>Low Profit</v>
      </c>
      <c r="M165" s="1">
        <f>YEAR(B165)</f>
        <v>2026</v>
      </c>
      <c r="N165" s="1" t="str">
        <f>TEXT(B165,"mmmm")</f>
        <v>January</v>
      </c>
      <c r="O165" s="1" t="str">
        <f>IF(J165&gt;=100000,"Excellent", IF(J165&gt;=50000,"Good","Average"))</f>
        <v>Good</v>
      </c>
      <c r="P165" s="1">
        <f>(H165*G165)*(I165/100)</f>
        <v>6300</v>
      </c>
      <c r="Q165" s="1">
        <f ca="1">J165-Q165</f>
        <v>0</v>
      </c>
    </row>
    <row r="166" spans="1:17" x14ac:dyDescent="0.25">
      <c r="A166" s="1">
        <v>1294</v>
      </c>
      <c r="B166" s="1" t="s">
        <v>204</v>
      </c>
      <c r="C166" s="1" t="s">
        <v>26</v>
      </c>
      <c r="D166" s="1" t="s">
        <v>17</v>
      </c>
      <c r="E166" s="1" t="s">
        <v>43</v>
      </c>
      <c r="F166" s="1" t="s">
        <v>24</v>
      </c>
      <c r="G166" s="1">
        <v>7</v>
      </c>
      <c r="H166" s="1">
        <v>9000</v>
      </c>
      <c r="I166" s="1">
        <v>10</v>
      </c>
      <c r="J166" s="1">
        <v>56700</v>
      </c>
      <c r="K166" s="1">
        <v>6817.59</v>
      </c>
      <c r="L166" s="1" t="str">
        <f>IF(K166&gt;=15000,"High Profit","Low Profit")</f>
        <v>Low Profit</v>
      </c>
      <c r="M166" s="1">
        <f>YEAR(B166)</f>
        <v>2026</v>
      </c>
      <c r="N166" s="1" t="str">
        <f>TEXT(B166,"mmmm")</f>
        <v>February</v>
      </c>
      <c r="O166" s="1" t="str">
        <f>IF(J166&gt;=100000,"Excellent", IF(J166&gt;=50000,"Good","Average"))</f>
        <v>Good</v>
      </c>
      <c r="P166" s="1">
        <f>(H166*G166)*(I166/100)</f>
        <v>6300</v>
      </c>
      <c r="Q166" s="1">
        <f ca="1">J166-Q166</f>
        <v>0</v>
      </c>
    </row>
    <row r="167" spans="1:17" x14ac:dyDescent="0.25">
      <c r="A167" s="1">
        <v>1414</v>
      </c>
      <c r="B167" s="1" t="s">
        <v>223</v>
      </c>
      <c r="C167" s="1" t="s">
        <v>32</v>
      </c>
      <c r="D167" s="1" t="s">
        <v>27</v>
      </c>
      <c r="E167" s="1" t="s">
        <v>18</v>
      </c>
      <c r="F167" s="1" t="s">
        <v>19</v>
      </c>
      <c r="G167" s="1">
        <v>9</v>
      </c>
      <c r="H167" s="1">
        <v>7000</v>
      </c>
      <c r="I167" s="1">
        <v>10</v>
      </c>
      <c r="J167" s="1">
        <v>56700</v>
      </c>
      <c r="K167" s="1">
        <v>7465.9</v>
      </c>
      <c r="L167" s="1" t="str">
        <f>IF(K167&gt;=15000,"High Profit","Low Profit")</f>
        <v>Low Profit</v>
      </c>
      <c r="M167" s="1">
        <f>YEAR(B167)</f>
        <v>2025</v>
      </c>
      <c r="N167" s="1" t="str">
        <f>TEXT(B167,"mmmm")</f>
        <v>June</v>
      </c>
      <c r="O167" s="1" t="str">
        <f>IF(J167&gt;=100000,"Excellent", IF(J167&gt;=50000,"Good","Average"))</f>
        <v>Good</v>
      </c>
      <c r="P167" s="1">
        <f>(H167*G167)*(I167/100)</f>
        <v>6300</v>
      </c>
      <c r="Q167" s="1">
        <f ca="1">J167-Q167</f>
        <v>0</v>
      </c>
    </row>
    <row r="168" spans="1:17" x14ac:dyDescent="0.25">
      <c r="A168" s="1">
        <v>1256</v>
      </c>
      <c r="B168" s="1" t="s">
        <v>235</v>
      </c>
      <c r="C168" s="1" t="s">
        <v>30</v>
      </c>
      <c r="D168" s="1" t="s">
        <v>13</v>
      </c>
      <c r="E168" s="1" t="s">
        <v>18</v>
      </c>
      <c r="F168" s="1" t="s">
        <v>19</v>
      </c>
      <c r="G168" s="1">
        <v>10</v>
      </c>
      <c r="H168" s="1">
        <v>7000</v>
      </c>
      <c r="I168" s="1">
        <v>20</v>
      </c>
      <c r="J168" s="1">
        <v>56000</v>
      </c>
      <c r="K168" s="1">
        <v>5504.91</v>
      </c>
      <c r="L168" s="1" t="str">
        <f>IF(K168&gt;=15000,"High Profit","Low Profit")</f>
        <v>Low Profit</v>
      </c>
      <c r="M168" s="1">
        <f>YEAR(B168)</f>
        <v>2025</v>
      </c>
      <c r="N168" s="1" t="str">
        <f>TEXT(B168,"mmmm")</f>
        <v>February</v>
      </c>
      <c r="O168" s="1" t="str">
        <f>IF(J168&gt;=100000,"Excellent", IF(J168&gt;=50000,"Good","Average"))</f>
        <v>Good</v>
      </c>
      <c r="P168" s="1">
        <f>(H168*G168)*(I168/100)</f>
        <v>14000</v>
      </c>
      <c r="Q168" s="1">
        <f ca="1">J168-Q168</f>
        <v>0</v>
      </c>
    </row>
    <row r="169" spans="1:17" x14ac:dyDescent="0.25">
      <c r="A169" s="1">
        <v>1266</v>
      </c>
      <c r="B169" s="1" t="s">
        <v>85</v>
      </c>
      <c r="C169" s="1" t="s">
        <v>41</v>
      </c>
      <c r="D169" s="1" t="s">
        <v>27</v>
      </c>
      <c r="E169" s="1" t="s">
        <v>18</v>
      </c>
      <c r="F169" s="1" t="s">
        <v>19</v>
      </c>
      <c r="G169" s="1">
        <v>10</v>
      </c>
      <c r="H169" s="1">
        <v>7000</v>
      </c>
      <c r="I169" s="1">
        <v>20</v>
      </c>
      <c r="J169" s="1">
        <v>56000</v>
      </c>
      <c r="K169" s="1">
        <v>11680.78</v>
      </c>
      <c r="L169" s="1" t="str">
        <f>IF(K169&gt;=15000,"High Profit","Low Profit")</f>
        <v>Low Profit</v>
      </c>
      <c r="M169" s="1">
        <f>YEAR(B169)</f>
        <v>2025</v>
      </c>
      <c r="N169" s="1" t="str">
        <f>TEXT(B169,"mmmm")</f>
        <v>June</v>
      </c>
      <c r="O169" s="1" t="str">
        <f>IF(J169&gt;=100000,"Excellent", IF(J169&gt;=50000,"Good","Average"))</f>
        <v>Good</v>
      </c>
      <c r="P169" s="1">
        <f>(H169*G169)*(I169/100)</f>
        <v>14000</v>
      </c>
      <c r="Q169" s="1">
        <f ca="1">J169-Q169</f>
        <v>0</v>
      </c>
    </row>
    <row r="170" spans="1:17" x14ac:dyDescent="0.25">
      <c r="A170" s="1">
        <v>1450</v>
      </c>
      <c r="B170" s="1" t="s">
        <v>120</v>
      </c>
      <c r="C170" s="1" t="s">
        <v>30</v>
      </c>
      <c r="D170" s="1" t="s">
        <v>22</v>
      </c>
      <c r="E170" s="1" t="s">
        <v>34</v>
      </c>
      <c r="F170" s="1" t="s">
        <v>24</v>
      </c>
      <c r="G170" s="1">
        <v>1</v>
      </c>
      <c r="H170" s="1">
        <v>55000</v>
      </c>
      <c r="I170" s="1">
        <v>0</v>
      </c>
      <c r="J170" s="1">
        <v>55000</v>
      </c>
      <c r="K170" s="1">
        <v>12138.82</v>
      </c>
      <c r="L170" s="1" t="str">
        <f>IF(K170&gt;=15000,"High Profit","Low Profit")</f>
        <v>Low Profit</v>
      </c>
      <c r="M170" s="1">
        <f>YEAR(B170)</f>
        <v>2025</v>
      </c>
      <c r="N170" s="1" t="str">
        <f>TEXT(B170,"mmmm")</f>
        <v>May</v>
      </c>
      <c r="O170" s="1" t="str">
        <f>IF(J170&gt;=100000,"Excellent", IF(J170&gt;=50000,"Good","Average"))</f>
        <v>Good</v>
      </c>
      <c r="P170" s="1">
        <f>(H170*G170)*(I170/100)</f>
        <v>0</v>
      </c>
      <c r="Q170" s="1">
        <f ca="1">J170-Q170</f>
        <v>0</v>
      </c>
    </row>
    <row r="171" spans="1:17" x14ac:dyDescent="0.25">
      <c r="A171" s="1">
        <v>1003</v>
      </c>
      <c r="B171" s="1" t="s">
        <v>20</v>
      </c>
      <c r="C171" s="1" t="s">
        <v>21</v>
      </c>
      <c r="D171" s="1" t="s">
        <v>22</v>
      </c>
      <c r="E171" s="1" t="s">
        <v>23</v>
      </c>
      <c r="F171" s="1" t="s">
        <v>24</v>
      </c>
      <c r="G171" s="1">
        <v>5</v>
      </c>
      <c r="H171" s="1">
        <v>12000</v>
      </c>
      <c r="I171" s="1">
        <v>10</v>
      </c>
      <c r="J171" s="1">
        <v>54000</v>
      </c>
      <c r="K171" s="1">
        <v>12150.1</v>
      </c>
      <c r="L171" s="1" t="str">
        <f>IF(K171&gt;=15000,"High Profit","Low Profit")</f>
        <v>Low Profit</v>
      </c>
      <c r="M171" s="1">
        <f>YEAR(B171)</f>
        <v>2025</v>
      </c>
      <c r="N171" s="1" t="str">
        <f>TEXT(B171,"mmmm")</f>
        <v>March</v>
      </c>
      <c r="O171" s="1" t="str">
        <f>IF(J171&gt;=100000,"Excellent", IF(J171&gt;=50000,"Good","Average"))</f>
        <v>Good</v>
      </c>
      <c r="P171" s="1">
        <f>(H171*G171)*(I171/100)</f>
        <v>6000</v>
      </c>
      <c r="Q171" s="1">
        <f ca="1">J171-Q171</f>
        <v>0</v>
      </c>
    </row>
    <row r="172" spans="1:17" x14ac:dyDescent="0.25">
      <c r="A172" s="1">
        <v>1047</v>
      </c>
      <c r="B172" s="1" t="s">
        <v>74</v>
      </c>
      <c r="C172" s="1" t="s">
        <v>30</v>
      </c>
      <c r="D172" s="1" t="s">
        <v>13</v>
      </c>
      <c r="E172" s="1" t="s">
        <v>43</v>
      </c>
      <c r="F172" s="1" t="s">
        <v>24</v>
      </c>
      <c r="G172" s="1">
        <v>6</v>
      </c>
      <c r="H172" s="1">
        <v>9000</v>
      </c>
      <c r="I172" s="1">
        <v>0</v>
      </c>
      <c r="J172" s="1">
        <v>54000</v>
      </c>
      <c r="K172" s="1">
        <v>8975.93</v>
      </c>
      <c r="L172" s="1" t="str">
        <f>IF(K172&gt;=15000,"High Profit","Low Profit")</f>
        <v>Low Profit</v>
      </c>
      <c r="M172" s="1">
        <f>YEAR(B172)</f>
        <v>2026</v>
      </c>
      <c r="N172" s="1" t="str">
        <f>TEXT(B172,"mmmm")</f>
        <v>April</v>
      </c>
      <c r="O172" s="1" t="str">
        <f>IF(J172&gt;=100000,"Excellent", IF(J172&gt;=50000,"Good","Average"))</f>
        <v>Good</v>
      </c>
      <c r="P172" s="1">
        <f>(H172*G172)*(I172/100)</f>
        <v>0</v>
      </c>
      <c r="Q172" s="1">
        <f ca="1">J172-Q172</f>
        <v>0</v>
      </c>
    </row>
    <row r="173" spans="1:17" x14ac:dyDescent="0.25">
      <c r="A173" s="1">
        <v>1053</v>
      </c>
      <c r="B173" s="1" t="s">
        <v>79</v>
      </c>
      <c r="C173" s="1" t="s">
        <v>12</v>
      </c>
      <c r="D173" s="1" t="s">
        <v>13</v>
      </c>
      <c r="E173" s="1" t="s">
        <v>43</v>
      </c>
      <c r="F173" s="1" t="s">
        <v>24</v>
      </c>
      <c r="G173" s="1">
        <v>6</v>
      </c>
      <c r="H173" s="1">
        <v>9000</v>
      </c>
      <c r="I173" s="1">
        <v>0</v>
      </c>
      <c r="J173" s="1">
        <v>54000</v>
      </c>
      <c r="K173" s="1">
        <v>4392.7700000000004</v>
      </c>
      <c r="L173" s="1" t="str">
        <f>IF(K173&gt;=15000,"High Profit","Low Profit")</f>
        <v>Low Profit</v>
      </c>
      <c r="M173" s="1">
        <f>YEAR(B173)</f>
        <v>2026</v>
      </c>
      <c r="N173" s="1" t="str">
        <f>TEXT(B173,"mmmm")</f>
        <v>February</v>
      </c>
      <c r="O173" s="1" t="str">
        <f>IF(J173&gt;=100000,"Excellent", IF(J173&gt;=50000,"Good","Average"))</f>
        <v>Good</v>
      </c>
      <c r="P173" s="1">
        <f>(H173*G173)*(I173/100)</f>
        <v>0</v>
      </c>
      <c r="Q173" s="1">
        <f ca="1">J173-Q173</f>
        <v>0</v>
      </c>
    </row>
    <row r="174" spans="1:17" x14ac:dyDescent="0.25">
      <c r="A174" s="1">
        <v>1354</v>
      </c>
      <c r="B174" s="1" t="s">
        <v>286</v>
      </c>
      <c r="C174" s="1" t="s">
        <v>12</v>
      </c>
      <c r="D174" s="1" t="s">
        <v>22</v>
      </c>
      <c r="E174" s="1" t="s">
        <v>23</v>
      </c>
      <c r="F174" s="1" t="s">
        <v>24</v>
      </c>
      <c r="G174" s="1">
        <v>5</v>
      </c>
      <c r="H174" s="1">
        <v>12000</v>
      </c>
      <c r="I174" s="1">
        <v>10</v>
      </c>
      <c r="J174" s="1">
        <v>54000</v>
      </c>
      <c r="K174" s="1">
        <v>12376.08</v>
      </c>
      <c r="L174" s="1" t="str">
        <f>IF(K174&gt;=15000,"High Profit","Low Profit")</f>
        <v>Low Profit</v>
      </c>
      <c r="M174" s="1">
        <f>YEAR(B174)</f>
        <v>2025</v>
      </c>
      <c r="N174" s="1" t="str">
        <f>TEXT(B174,"mmmm")</f>
        <v>April</v>
      </c>
      <c r="O174" s="1" t="str">
        <f>IF(J174&gt;=100000,"Excellent", IF(J174&gt;=50000,"Good","Average"))</f>
        <v>Good</v>
      </c>
      <c r="P174" s="1">
        <f>(H174*G174)*(I174/100)</f>
        <v>6000</v>
      </c>
      <c r="Q174" s="1">
        <f ca="1">J174-Q174</f>
        <v>0</v>
      </c>
    </row>
    <row r="175" spans="1:17" x14ac:dyDescent="0.25">
      <c r="A175" s="1">
        <v>1472</v>
      </c>
      <c r="B175" s="1" t="s">
        <v>337</v>
      </c>
      <c r="C175" s="1" t="s">
        <v>12</v>
      </c>
      <c r="D175" s="1" t="s">
        <v>22</v>
      </c>
      <c r="E175" s="1" t="s">
        <v>43</v>
      </c>
      <c r="F175" s="1" t="s">
        <v>24</v>
      </c>
      <c r="G175" s="1">
        <v>6</v>
      </c>
      <c r="H175" s="1">
        <v>9000</v>
      </c>
      <c r="I175" s="1">
        <v>0</v>
      </c>
      <c r="J175" s="1">
        <v>54000</v>
      </c>
      <c r="K175" s="1">
        <v>9303.6</v>
      </c>
      <c r="L175" s="1" t="str">
        <f>IF(K175&gt;=15000,"High Profit","Low Profit")</f>
        <v>Low Profit</v>
      </c>
      <c r="M175" s="1">
        <f>YEAR(B175)</f>
        <v>2025</v>
      </c>
      <c r="N175" s="1" t="str">
        <f>TEXT(B175,"mmmm")</f>
        <v>February</v>
      </c>
      <c r="O175" s="1" t="str">
        <f>IF(J175&gt;=100000,"Excellent", IF(J175&gt;=50000,"Good","Average"))</f>
        <v>Good</v>
      </c>
      <c r="P175" s="1">
        <f>(H175*G175)*(I175/100)</f>
        <v>0</v>
      </c>
      <c r="Q175" s="1">
        <f ca="1">J175-Q175</f>
        <v>0</v>
      </c>
    </row>
    <row r="176" spans="1:17" x14ac:dyDescent="0.25">
      <c r="A176" s="1">
        <v>1059</v>
      </c>
      <c r="B176" s="1" t="s">
        <v>85</v>
      </c>
      <c r="C176" s="1" t="s">
        <v>45</v>
      </c>
      <c r="D176" s="1" t="s">
        <v>27</v>
      </c>
      <c r="E176" s="1" t="s">
        <v>18</v>
      </c>
      <c r="F176" s="1" t="s">
        <v>19</v>
      </c>
      <c r="G176" s="1">
        <v>9</v>
      </c>
      <c r="H176" s="1">
        <v>7000</v>
      </c>
      <c r="I176" s="1">
        <v>15</v>
      </c>
      <c r="J176" s="1">
        <v>53550</v>
      </c>
      <c r="K176" s="1">
        <v>7535.81</v>
      </c>
      <c r="L176" s="1" t="str">
        <f>IF(K176&gt;=15000,"High Profit","Low Profit")</f>
        <v>Low Profit</v>
      </c>
      <c r="M176" s="1">
        <f>YEAR(B176)</f>
        <v>2025</v>
      </c>
      <c r="N176" s="1" t="str">
        <f>TEXT(B176,"mmmm")</f>
        <v>June</v>
      </c>
      <c r="O176" s="1" t="str">
        <f>IF(J176&gt;=100000,"Excellent", IF(J176&gt;=50000,"Good","Average"))</f>
        <v>Good</v>
      </c>
      <c r="P176" s="1">
        <f>(H176*G176)*(I176/100)</f>
        <v>9450</v>
      </c>
      <c r="Q176" s="1">
        <f ca="1">J176-Q176</f>
        <v>0</v>
      </c>
    </row>
    <row r="177" spans="1:17" x14ac:dyDescent="0.25">
      <c r="A177" s="1">
        <v>1087</v>
      </c>
      <c r="B177" s="1" t="s">
        <v>111</v>
      </c>
      <c r="C177" s="1" t="s">
        <v>30</v>
      </c>
      <c r="D177" s="1" t="s">
        <v>17</v>
      </c>
      <c r="E177" s="1" t="s">
        <v>43</v>
      </c>
      <c r="F177" s="1" t="s">
        <v>24</v>
      </c>
      <c r="G177" s="1">
        <v>7</v>
      </c>
      <c r="H177" s="1">
        <v>9000</v>
      </c>
      <c r="I177" s="1">
        <v>15</v>
      </c>
      <c r="J177" s="1">
        <v>53550</v>
      </c>
      <c r="K177" s="1">
        <v>4600.95</v>
      </c>
      <c r="L177" s="1" t="str">
        <f>IF(K177&gt;=15000,"High Profit","Low Profit")</f>
        <v>Low Profit</v>
      </c>
      <c r="M177" s="1">
        <f>YEAR(B177)</f>
        <v>2025</v>
      </c>
      <c r="N177" s="1" t="str">
        <f>TEXT(B177,"mmmm")</f>
        <v>July</v>
      </c>
      <c r="O177" s="1" t="str">
        <f>IF(J177&gt;=100000,"Excellent", IF(J177&gt;=50000,"Good","Average"))</f>
        <v>Good</v>
      </c>
      <c r="P177" s="1">
        <f>(H177*G177)*(I177/100)</f>
        <v>9450</v>
      </c>
      <c r="Q177" s="1">
        <f ca="1">J177-Q177</f>
        <v>0</v>
      </c>
    </row>
    <row r="178" spans="1:17" x14ac:dyDescent="0.25">
      <c r="A178" s="1">
        <v>1391</v>
      </c>
      <c r="B178" s="1" t="s">
        <v>74</v>
      </c>
      <c r="C178" s="1" t="s">
        <v>12</v>
      </c>
      <c r="D178" s="1" t="s">
        <v>13</v>
      </c>
      <c r="E178" s="1" t="s">
        <v>43</v>
      </c>
      <c r="F178" s="1" t="s">
        <v>24</v>
      </c>
      <c r="G178" s="1">
        <v>7</v>
      </c>
      <c r="H178" s="1">
        <v>9000</v>
      </c>
      <c r="I178" s="1">
        <v>15</v>
      </c>
      <c r="J178" s="1">
        <v>53550</v>
      </c>
      <c r="K178" s="1">
        <v>10750.16</v>
      </c>
      <c r="L178" s="1" t="str">
        <f>IF(K178&gt;=15000,"High Profit","Low Profit")</f>
        <v>Low Profit</v>
      </c>
      <c r="M178" s="1">
        <f>YEAR(B178)</f>
        <v>2026</v>
      </c>
      <c r="N178" s="1" t="str">
        <f>TEXT(B178,"mmmm")</f>
        <v>April</v>
      </c>
      <c r="O178" s="1" t="str">
        <f>IF(J178&gt;=100000,"Excellent", IF(J178&gt;=50000,"Good","Average"))</f>
        <v>Good</v>
      </c>
      <c r="P178" s="1">
        <f>(H178*G178)*(I178/100)</f>
        <v>9450</v>
      </c>
      <c r="Q178" s="1">
        <f ca="1">J178-Q178</f>
        <v>0</v>
      </c>
    </row>
    <row r="179" spans="1:17" x14ac:dyDescent="0.25">
      <c r="A179" s="1">
        <v>1033</v>
      </c>
      <c r="B179" s="1" t="s">
        <v>63</v>
      </c>
      <c r="C179" s="1" t="s">
        <v>21</v>
      </c>
      <c r="D179" s="1" t="s">
        <v>22</v>
      </c>
      <c r="E179" s="1" t="s">
        <v>34</v>
      </c>
      <c r="F179" s="1" t="s">
        <v>24</v>
      </c>
      <c r="G179" s="1">
        <v>1</v>
      </c>
      <c r="H179" s="1">
        <v>55000</v>
      </c>
      <c r="I179" s="1">
        <v>5</v>
      </c>
      <c r="J179" s="1">
        <v>52250</v>
      </c>
      <c r="K179" s="1">
        <v>9734.17</v>
      </c>
      <c r="L179" s="1" t="str">
        <f>IF(K179&gt;=15000,"High Profit","Low Profit")</f>
        <v>Low Profit</v>
      </c>
      <c r="M179" s="1">
        <f>YEAR(B179)</f>
        <v>2025</v>
      </c>
      <c r="N179" s="1" t="str">
        <f>TEXT(B179,"mmmm")</f>
        <v>September</v>
      </c>
      <c r="O179" s="1" t="str">
        <f>IF(J179&gt;=100000,"Excellent", IF(J179&gt;=50000,"Good","Average"))</f>
        <v>Good</v>
      </c>
      <c r="P179" s="1">
        <f>(H179*G179)*(I179/100)</f>
        <v>2750</v>
      </c>
      <c r="Q179" s="1">
        <f ca="1">J179-Q179</f>
        <v>0</v>
      </c>
    </row>
    <row r="180" spans="1:17" x14ac:dyDescent="0.25">
      <c r="A180" s="1">
        <v>1122</v>
      </c>
      <c r="B180" s="1" t="s">
        <v>92</v>
      </c>
      <c r="C180" s="1" t="s">
        <v>39</v>
      </c>
      <c r="D180" s="1" t="s">
        <v>27</v>
      </c>
      <c r="E180" s="1" t="s">
        <v>34</v>
      </c>
      <c r="F180" s="1" t="s">
        <v>24</v>
      </c>
      <c r="G180" s="1">
        <v>1</v>
      </c>
      <c r="H180" s="1">
        <v>55000</v>
      </c>
      <c r="I180" s="1">
        <v>5</v>
      </c>
      <c r="J180" s="1">
        <v>52250</v>
      </c>
      <c r="K180" s="1">
        <v>7908.24</v>
      </c>
      <c r="L180" s="1" t="str">
        <f>IF(K180&gt;=15000,"High Profit","Low Profit")</f>
        <v>Low Profit</v>
      </c>
      <c r="M180" s="1">
        <f>YEAR(B180)</f>
        <v>2025</v>
      </c>
      <c r="N180" s="1" t="str">
        <f>TEXT(B180,"mmmm")</f>
        <v>August</v>
      </c>
      <c r="O180" s="1" t="str">
        <f>IF(J180&gt;=100000,"Excellent", IF(J180&gt;=50000,"Good","Average"))</f>
        <v>Good</v>
      </c>
      <c r="P180" s="1">
        <f>(H180*G180)*(I180/100)</f>
        <v>2750</v>
      </c>
      <c r="Q180" s="1">
        <f ca="1">J180-Q180</f>
        <v>0</v>
      </c>
    </row>
    <row r="181" spans="1:17" x14ac:dyDescent="0.25">
      <c r="A181" s="1">
        <v>1375</v>
      </c>
      <c r="B181" s="1" t="s">
        <v>298</v>
      </c>
      <c r="C181" s="1" t="s">
        <v>47</v>
      </c>
      <c r="D181" s="1" t="s">
        <v>27</v>
      </c>
      <c r="E181" s="1" t="s">
        <v>34</v>
      </c>
      <c r="F181" s="1" t="s">
        <v>24</v>
      </c>
      <c r="G181" s="1">
        <v>1</v>
      </c>
      <c r="H181" s="1">
        <v>55000</v>
      </c>
      <c r="I181" s="1">
        <v>5</v>
      </c>
      <c r="J181" s="1">
        <v>52250</v>
      </c>
      <c r="K181" s="1">
        <v>9672.5</v>
      </c>
      <c r="L181" s="1" t="str">
        <f>IF(K181&gt;=15000,"High Profit","Low Profit")</f>
        <v>Low Profit</v>
      </c>
      <c r="M181" s="1">
        <f>YEAR(B181)</f>
        <v>2025</v>
      </c>
      <c r="N181" s="1" t="str">
        <f>TEXT(B181,"mmmm")</f>
        <v>March</v>
      </c>
      <c r="O181" s="1" t="str">
        <f>IF(J181&gt;=100000,"Excellent", IF(J181&gt;=50000,"Good","Average"))</f>
        <v>Good</v>
      </c>
      <c r="P181" s="1">
        <f>(H181*G181)*(I181/100)</f>
        <v>2750</v>
      </c>
      <c r="Q181" s="1">
        <f ca="1">J181-Q181</f>
        <v>0</v>
      </c>
    </row>
    <row r="182" spans="1:17" x14ac:dyDescent="0.25">
      <c r="A182" s="1">
        <v>1303</v>
      </c>
      <c r="B182" s="1" t="s">
        <v>264</v>
      </c>
      <c r="C182" s="1" t="s">
        <v>30</v>
      </c>
      <c r="D182" s="1" t="s">
        <v>17</v>
      </c>
      <c r="E182" s="1" t="s">
        <v>18</v>
      </c>
      <c r="F182" s="1" t="s">
        <v>19</v>
      </c>
      <c r="G182" s="1">
        <v>9</v>
      </c>
      <c r="H182" s="1">
        <v>7000</v>
      </c>
      <c r="I182" s="1">
        <v>20</v>
      </c>
      <c r="J182" s="1">
        <v>50400</v>
      </c>
      <c r="K182" s="1">
        <v>5706.22</v>
      </c>
      <c r="L182" s="1" t="str">
        <f>IF(K182&gt;=15000,"High Profit","Low Profit")</f>
        <v>Low Profit</v>
      </c>
      <c r="M182" s="1">
        <f>YEAR(B182)</f>
        <v>2025</v>
      </c>
      <c r="N182" s="1" t="str">
        <f>TEXT(B182,"mmmm")</f>
        <v>December</v>
      </c>
      <c r="O182" s="1" t="str">
        <f>IF(J182&gt;=100000,"Excellent", IF(J182&gt;=50000,"Good","Average"))</f>
        <v>Good</v>
      </c>
      <c r="P182" s="1">
        <f>(H182*G182)*(I182/100)</f>
        <v>12600</v>
      </c>
      <c r="Q182" s="1">
        <f ca="1">J182-Q182</f>
        <v>0</v>
      </c>
    </row>
    <row r="183" spans="1:17" x14ac:dyDescent="0.25">
      <c r="A183" s="1">
        <v>1346</v>
      </c>
      <c r="B183" s="1" t="s">
        <v>195</v>
      </c>
      <c r="C183" s="1" t="s">
        <v>32</v>
      </c>
      <c r="D183" s="1" t="s">
        <v>13</v>
      </c>
      <c r="E183" s="1" t="s">
        <v>43</v>
      </c>
      <c r="F183" s="1" t="s">
        <v>24</v>
      </c>
      <c r="G183" s="1">
        <v>7</v>
      </c>
      <c r="H183" s="1">
        <v>9000</v>
      </c>
      <c r="I183" s="1">
        <v>20</v>
      </c>
      <c r="J183" s="1">
        <v>50400</v>
      </c>
      <c r="K183" s="1">
        <v>9695.65</v>
      </c>
      <c r="L183" s="1" t="str">
        <f>IF(K183&gt;=15000,"High Profit","Low Profit")</f>
        <v>Low Profit</v>
      </c>
      <c r="M183" s="1">
        <f>YEAR(B183)</f>
        <v>2025</v>
      </c>
      <c r="N183" s="1" t="str">
        <f>TEXT(B183,"mmmm")</f>
        <v>March</v>
      </c>
      <c r="O183" s="1" t="str">
        <f>IF(J183&gt;=100000,"Excellent", IF(J183&gt;=50000,"Good","Average"))</f>
        <v>Good</v>
      </c>
      <c r="P183" s="1">
        <f>(H183*G183)*(I183/100)</f>
        <v>12600</v>
      </c>
      <c r="Q183" s="1">
        <f ca="1">J183-Q183</f>
        <v>0</v>
      </c>
    </row>
    <row r="184" spans="1:17" x14ac:dyDescent="0.25">
      <c r="A184" s="1">
        <v>1394</v>
      </c>
      <c r="B184" s="1" t="s">
        <v>66</v>
      </c>
      <c r="C184" s="1" t="s">
        <v>45</v>
      </c>
      <c r="D184" s="1" t="s">
        <v>17</v>
      </c>
      <c r="E184" s="1" t="s">
        <v>18</v>
      </c>
      <c r="F184" s="1" t="s">
        <v>19</v>
      </c>
      <c r="G184" s="1">
        <v>8</v>
      </c>
      <c r="H184" s="1">
        <v>7000</v>
      </c>
      <c r="I184" s="1">
        <v>10</v>
      </c>
      <c r="J184" s="1">
        <v>50400</v>
      </c>
      <c r="K184" s="1">
        <v>10226.43</v>
      </c>
      <c r="L184" s="1" t="str">
        <f>IF(K184&gt;=15000,"High Profit","Low Profit")</f>
        <v>Low Profit</v>
      </c>
      <c r="M184" s="1">
        <f>YEAR(B184)</f>
        <v>2025</v>
      </c>
      <c r="N184" s="1" t="str">
        <f>TEXT(B184,"mmmm")</f>
        <v>January</v>
      </c>
      <c r="O184" s="1" t="str">
        <f>IF(J184&gt;=100000,"Excellent", IF(J184&gt;=50000,"Good","Average"))</f>
        <v>Good</v>
      </c>
      <c r="P184" s="1">
        <f>(H184*G184)*(I184/100)</f>
        <v>5600</v>
      </c>
      <c r="Q184" s="1">
        <f ca="1">J184-Q184</f>
        <v>0</v>
      </c>
    </row>
    <row r="185" spans="1:17" x14ac:dyDescent="0.25">
      <c r="A185" s="1">
        <v>1485</v>
      </c>
      <c r="B185" s="1" t="s">
        <v>342</v>
      </c>
      <c r="C185" s="1" t="s">
        <v>32</v>
      </c>
      <c r="D185" s="1" t="s">
        <v>17</v>
      </c>
      <c r="E185" s="1" t="s">
        <v>18</v>
      </c>
      <c r="F185" s="1" t="s">
        <v>19</v>
      </c>
      <c r="G185" s="1">
        <v>8</v>
      </c>
      <c r="H185" s="1">
        <v>7000</v>
      </c>
      <c r="I185" s="1">
        <v>10</v>
      </c>
      <c r="J185" s="1">
        <v>50400</v>
      </c>
      <c r="K185" s="1">
        <v>7350.85</v>
      </c>
      <c r="L185" s="1" t="str">
        <f>IF(K185&gt;=15000,"High Profit","Low Profit")</f>
        <v>Low Profit</v>
      </c>
      <c r="M185" s="1">
        <f>YEAR(B185)</f>
        <v>2025</v>
      </c>
      <c r="N185" s="1" t="str">
        <f>TEXT(B185,"mmmm")</f>
        <v>May</v>
      </c>
      <c r="O185" s="1" t="str">
        <f>IF(J185&gt;=100000,"Excellent", IF(J185&gt;=50000,"Good","Average"))</f>
        <v>Good</v>
      </c>
      <c r="P185" s="1">
        <f>(H185*G185)*(I185/100)</f>
        <v>5600</v>
      </c>
      <c r="Q185" s="1">
        <f ca="1">J185-Q185</f>
        <v>0</v>
      </c>
    </row>
    <row r="186" spans="1:17" x14ac:dyDescent="0.25">
      <c r="A186" s="1">
        <v>1063</v>
      </c>
      <c r="B186" s="1" t="s">
        <v>88</v>
      </c>
      <c r="C186" s="1" t="s">
        <v>47</v>
      </c>
      <c r="D186" s="1" t="s">
        <v>27</v>
      </c>
      <c r="E186" s="1" t="s">
        <v>34</v>
      </c>
      <c r="F186" s="1" t="s">
        <v>24</v>
      </c>
      <c r="G186" s="1">
        <v>1</v>
      </c>
      <c r="H186" s="1">
        <v>55000</v>
      </c>
      <c r="I186" s="1">
        <v>10</v>
      </c>
      <c r="J186" s="1">
        <v>49500</v>
      </c>
      <c r="K186" s="1">
        <v>6094.63</v>
      </c>
      <c r="L186" s="1" t="str">
        <f>IF(K186&gt;=15000,"High Profit","Low Profit")</f>
        <v>Low Profit</v>
      </c>
      <c r="M186" s="1">
        <f>YEAR(B186)</f>
        <v>2026</v>
      </c>
      <c r="N186" s="1" t="str">
        <f>TEXT(B186,"mmmm")</f>
        <v>January</v>
      </c>
      <c r="O186" s="1" t="str">
        <f>IF(J186&gt;=100000,"Excellent", IF(J186&gt;=50000,"Good","Average"))</f>
        <v>Average</v>
      </c>
      <c r="P186" s="1">
        <f>(H186*G186)*(I186/100)</f>
        <v>5500</v>
      </c>
      <c r="Q186" s="1">
        <f ca="1">J186-Q186</f>
        <v>0</v>
      </c>
    </row>
    <row r="187" spans="1:17" x14ac:dyDescent="0.25">
      <c r="A187" s="1">
        <v>1250</v>
      </c>
      <c r="B187" s="1" t="s">
        <v>102</v>
      </c>
      <c r="C187" s="1" t="s">
        <v>30</v>
      </c>
      <c r="D187" s="1" t="s">
        <v>13</v>
      </c>
      <c r="E187" s="1" t="s">
        <v>18</v>
      </c>
      <c r="F187" s="1" t="s">
        <v>19</v>
      </c>
      <c r="G187" s="1">
        <v>7</v>
      </c>
      <c r="H187" s="1">
        <v>7000</v>
      </c>
      <c r="I187" s="1">
        <v>0</v>
      </c>
      <c r="J187" s="1">
        <v>49000</v>
      </c>
      <c r="K187" s="1">
        <v>4303.43</v>
      </c>
      <c r="L187" s="1" t="str">
        <f>IF(K187&gt;=15000,"High Profit","Low Profit")</f>
        <v>Low Profit</v>
      </c>
      <c r="M187" s="1">
        <f>YEAR(B187)</f>
        <v>2025</v>
      </c>
      <c r="N187" s="1" t="str">
        <f>TEXT(B187,"mmmm")</f>
        <v>October</v>
      </c>
      <c r="O187" s="1" t="str">
        <f>IF(J187&gt;=100000,"Excellent", IF(J187&gt;=50000,"Good","Average"))</f>
        <v>Average</v>
      </c>
      <c r="P187" s="1">
        <f>(H187*G187)*(I187/100)</f>
        <v>0</v>
      </c>
      <c r="Q187" s="1">
        <f ca="1">J187-Q187</f>
        <v>0</v>
      </c>
    </row>
    <row r="188" spans="1:17" x14ac:dyDescent="0.25">
      <c r="A188" s="1">
        <v>1055</v>
      </c>
      <c r="B188" s="1" t="s">
        <v>81</v>
      </c>
      <c r="C188" s="1" t="s">
        <v>36</v>
      </c>
      <c r="D188" s="1" t="s">
        <v>13</v>
      </c>
      <c r="E188" s="1" t="s">
        <v>43</v>
      </c>
      <c r="F188" s="1" t="s">
        <v>24</v>
      </c>
      <c r="G188" s="1">
        <v>6</v>
      </c>
      <c r="H188" s="1">
        <v>9000</v>
      </c>
      <c r="I188" s="1">
        <v>10</v>
      </c>
      <c r="J188" s="1">
        <v>48600</v>
      </c>
      <c r="K188" s="1">
        <v>8701.64</v>
      </c>
      <c r="L188" s="1" t="str">
        <f>IF(K188&gt;=15000,"High Profit","Low Profit")</f>
        <v>Low Profit</v>
      </c>
      <c r="M188" s="1">
        <f>YEAR(B188)</f>
        <v>2025</v>
      </c>
      <c r="N188" s="1" t="str">
        <f>TEXT(B188,"mmmm")</f>
        <v>August</v>
      </c>
      <c r="O188" s="1" t="str">
        <f>IF(J188&gt;=100000,"Excellent", IF(J188&gt;=50000,"Good","Average"))</f>
        <v>Average</v>
      </c>
      <c r="P188" s="1">
        <f>(H188*G188)*(I188/100)</f>
        <v>5400</v>
      </c>
      <c r="Q188" s="1">
        <f ca="1">J188-Q188</f>
        <v>0</v>
      </c>
    </row>
    <row r="189" spans="1:17" x14ac:dyDescent="0.25">
      <c r="A189" s="1">
        <v>1415</v>
      </c>
      <c r="B189" s="1" t="s">
        <v>301</v>
      </c>
      <c r="C189" s="1" t="s">
        <v>36</v>
      </c>
      <c r="D189" s="1" t="s">
        <v>22</v>
      </c>
      <c r="E189" s="1" t="s">
        <v>43</v>
      </c>
      <c r="F189" s="1" t="s">
        <v>24</v>
      </c>
      <c r="G189" s="1">
        <v>6</v>
      </c>
      <c r="H189" s="1">
        <v>9000</v>
      </c>
      <c r="I189" s="1">
        <v>10</v>
      </c>
      <c r="J189" s="1">
        <v>48600</v>
      </c>
      <c r="K189" s="1">
        <v>7881.81</v>
      </c>
      <c r="L189" s="1" t="str">
        <f>IF(K189&gt;=15000,"High Profit","Low Profit")</f>
        <v>Low Profit</v>
      </c>
      <c r="M189" s="1">
        <f>YEAR(B189)</f>
        <v>2025</v>
      </c>
      <c r="N189" s="1" t="str">
        <f>TEXT(B189,"mmmm")</f>
        <v>January</v>
      </c>
      <c r="O189" s="1" t="str">
        <f>IF(J189&gt;=100000,"Excellent", IF(J189&gt;=50000,"Good","Average"))</f>
        <v>Average</v>
      </c>
      <c r="P189" s="1">
        <f>(H189*G189)*(I189/100)</f>
        <v>5400</v>
      </c>
      <c r="Q189" s="1">
        <f ca="1">J189-Q189</f>
        <v>0</v>
      </c>
    </row>
    <row r="190" spans="1:17" x14ac:dyDescent="0.25">
      <c r="A190" s="1">
        <v>1418</v>
      </c>
      <c r="B190" s="1" t="s">
        <v>317</v>
      </c>
      <c r="C190" s="1" t="s">
        <v>21</v>
      </c>
      <c r="D190" s="1" t="s">
        <v>17</v>
      </c>
      <c r="E190" s="1" t="s">
        <v>43</v>
      </c>
      <c r="F190" s="1" t="s">
        <v>24</v>
      </c>
      <c r="G190" s="1">
        <v>6</v>
      </c>
      <c r="H190" s="1">
        <v>9000</v>
      </c>
      <c r="I190" s="1">
        <v>10</v>
      </c>
      <c r="J190" s="1">
        <v>48600</v>
      </c>
      <c r="K190" s="1">
        <v>4391.72</v>
      </c>
      <c r="L190" s="1" t="str">
        <f>IF(K190&gt;=15000,"High Profit","Low Profit")</f>
        <v>Low Profit</v>
      </c>
      <c r="M190" s="1">
        <f>YEAR(B190)</f>
        <v>2025</v>
      </c>
      <c r="N190" s="1" t="str">
        <f>TEXT(B190,"mmmm")</f>
        <v>July</v>
      </c>
      <c r="O190" s="1" t="str">
        <f>IF(J190&gt;=100000,"Excellent", IF(J190&gt;=50000,"Good","Average"))</f>
        <v>Average</v>
      </c>
      <c r="P190" s="1">
        <f>(H190*G190)*(I190/100)</f>
        <v>5400</v>
      </c>
      <c r="Q190" s="1">
        <f ca="1">J190-Q190</f>
        <v>0</v>
      </c>
    </row>
    <row r="191" spans="1:17" x14ac:dyDescent="0.25">
      <c r="A191" s="1">
        <v>1147</v>
      </c>
      <c r="B191" s="1" t="s">
        <v>162</v>
      </c>
      <c r="C191" s="1" t="s">
        <v>32</v>
      </c>
      <c r="D191" s="1" t="s">
        <v>22</v>
      </c>
      <c r="E191" s="1" t="s">
        <v>23</v>
      </c>
      <c r="F191" s="1" t="s">
        <v>24</v>
      </c>
      <c r="G191" s="1">
        <v>4</v>
      </c>
      <c r="H191" s="1">
        <v>12000</v>
      </c>
      <c r="I191" s="1">
        <v>0</v>
      </c>
      <c r="J191" s="1">
        <v>48000</v>
      </c>
      <c r="K191" s="1">
        <v>6538.42</v>
      </c>
      <c r="L191" s="1" t="str">
        <f>IF(K191&gt;=15000,"High Profit","Low Profit")</f>
        <v>Low Profit</v>
      </c>
      <c r="M191" s="1">
        <f>YEAR(B191)</f>
        <v>2025</v>
      </c>
      <c r="N191" s="1" t="str">
        <f>TEXT(B191,"mmmm")</f>
        <v>June</v>
      </c>
      <c r="O191" s="1" t="str">
        <f>IF(J191&gt;=100000,"Excellent", IF(J191&gt;=50000,"Good","Average"))</f>
        <v>Average</v>
      </c>
      <c r="P191" s="1">
        <f>(H191*G191)*(I191/100)</f>
        <v>0</v>
      </c>
      <c r="Q191" s="1">
        <f ca="1">J191-Q191</f>
        <v>0</v>
      </c>
    </row>
    <row r="192" spans="1:17" x14ac:dyDescent="0.25">
      <c r="A192" s="1">
        <v>1163</v>
      </c>
      <c r="B192" s="1" t="s">
        <v>172</v>
      </c>
      <c r="C192" s="1" t="s">
        <v>30</v>
      </c>
      <c r="D192" s="1" t="s">
        <v>27</v>
      </c>
      <c r="E192" s="1" t="s">
        <v>23</v>
      </c>
      <c r="F192" s="1" t="s">
        <v>24</v>
      </c>
      <c r="G192" s="1">
        <v>5</v>
      </c>
      <c r="H192" s="1">
        <v>12000</v>
      </c>
      <c r="I192" s="1">
        <v>20</v>
      </c>
      <c r="J192" s="1">
        <v>48000</v>
      </c>
      <c r="K192" s="1">
        <v>9711.08</v>
      </c>
      <c r="L192" s="1" t="str">
        <f>IF(K192&gt;=15000,"High Profit","Low Profit")</f>
        <v>Low Profit</v>
      </c>
      <c r="M192" s="1">
        <f>YEAR(B192)</f>
        <v>2025</v>
      </c>
      <c r="N192" s="1" t="str">
        <f>TEXT(B192,"mmmm")</f>
        <v>May</v>
      </c>
      <c r="O192" s="1" t="str">
        <f>IF(J192&gt;=100000,"Excellent", IF(J192&gt;=50000,"Good","Average"))</f>
        <v>Average</v>
      </c>
      <c r="P192" s="1">
        <f>(H192*G192)*(I192/100)</f>
        <v>12000</v>
      </c>
      <c r="Q192" s="1">
        <f ca="1">J192-Q192</f>
        <v>0</v>
      </c>
    </row>
    <row r="193" spans="1:17" x14ac:dyDescent="0.25">
      <c r="A193" s="1">
        <v>1171</v>
      </c>
      <c r="B193" s="1" t="s">
        <v>74</v>
      </c>
      <c r="C193" s="1" t="s">
        <v>39</v>
      </c>
      <c r="D193" s="1" t="s">
        <v>17</v>
      </c>
      <c r="E193" s="1" t="s">
        <v>23</v>
      </c>
      <c r="F193" s="1" t="s">
        <v>24</v>
      </c>
      <c r="G193" s="1">
        <v>5</v>
      </c>
      <c r="H193" s="1">
        <v>12000</v>
      </c>
      <c r="I193" s="1">
        <v>20</v>
      </c>
      <c r="J193" s="1">
        <v>48000</v>
      </c>
      <c r="K193" s="1">
        <v>8957.74</v>
      </c>
      <c r="L193" s="1" t="str">
        <f>IF(K193&gt;=15000,"High Profit","Low Profit")</f>
        <v>Low Profit</v>
      </c>
      <c r="M193" s="1">
        <f>YEAR(B193)</f>
        <v>2026</v>
      </c>
      <c r="N193" s="1" t="str">
        <f>TEXT(B193,"mmmm")</f>
        <v>April</v>
      </c>
      <c r="O193" s="1" t="str">
        <f>IF(J193&gt;=100000,"Excellent", IF(J193&gt;=50000,"Good","Average"))</f>
        <v>Average</v>
      </c>
      <c r="P193" s="1">
        <f>(H193*G193)*(I193/100)</f>
        <v>12000</v>
      </c>
      <c r="Q193" s="1">
        <f ca="1">J193-Q193</f>
        <v>0</v>
      </c>
    </row>
    <row r="194" spans="1:17" x14ac:dyDescent="0.25">
      <c r="A194" s="1">
        <v>1464</v>
      </c>
      <c r="B194" s="1" t="s">
        <v>76</v>
      </c>
      <c r="C194" s="1" t="s">
        <v>26</v>
      </c>
      <c r="D194" s="1" t="s">
        <v>13</v>
      </c>
      <c r="E194" s="1" t="s">
        <v>23</v>
      </c>
      <c r="F194" s="1" t="s">
        <v>24</v>
      </c>
      <c r="G194" s="1">
        <v>4</v>
      </c>
      <c r="H194" s="1">
        <v>12000</v>
      </c>
      <c r="I194" s="1">
        <v>0</v>
      </c>
      <c r="J194" s="1">
        <v>48000</v>
      </c>
      <c r="K194" s="1">
        <v>9263.51</v>
      </c>
      <c r="L194" s="1" t="str">
        <f>IF(K194&gt;=15000,"High Profit","Low Profit")</f>
        <v>Low Profit</v>
      </c>
      <c r="M194" s="1">
        <f>YEAR(B194)</f>
        <v>2025</v>
      </c>
      <c r="N194" s="1" t="str">
        <f>TEXT(B194,"mmmm")</f>
        <v>May</v>
      </c>
      <c r="O194" s="1" t="str">
        <f>IF(J194&gt;=100000,"Excellent", IF(J194&gt;=50000,"Good","Average"))</f>
        <v>Average</v>
      </c>
      <c r="P194" s="1">
        <f>(H194*G194)*(I194/100)</f>
        <v>0</v>
      </c>
      <c r="Q194" s="1">
        <f ca="1">J194-Q194</f>
        <v>0</v>
      </c>
    </row>
    <row r="195" spans="1:17" x14ac:dyDescent="0.25">
      <c r="A195" s="1">
        <v>1499</v>
      </c>
      <c r="B195" s="1" t="s">
        <v>302</v>
      </c>
      <c r="C195" s="1" t="s">
        <v>39</v>
      </c>
      <c r="D195" s="1" t="s">
        <v>27</v>
      </c>
      <c r="E195" s="1" t="s">
        <v>23</v>
      </c>
      <c r="F195" s="1" t="s">
        <v>24</v>
      </c>
      <c r="G195" s="1">
        <v>5</v>
      </c>
      <c r="H195" s="1">
        <v>12000</v>
      </c>
      <c r="I195" s="1">
        <v>20</v>
      </c>
      <c r="J195" s="1">
        <v>48000</v>
      </c>
      <c r="K195" s="1">
        <v>9868.2000000000007</v>
      </c>
      <c r="L195" s="1" t="str">
        <f>IF(K195&gt;=15000,"High Profit","Low Profit")</f>
        <v>Low Profit</v>
      </c>
      <c r="M195" s="1">
        <f>YEAR(B195)</f>
        <v>2025</v>
      </c>
      <c r="N195" s="1" t="str">
        <f>TEXT(B195,"mmmm")</f>
        <v>January</v>
      </c>
      <c r="O195" s="1" t="str">
        <f>IF(J195&gt;=100000,"Excellent", IF(J195&gt;=50000,"Good","Average"))</f>
        <v>Average</v>
      </c>
      <c r="P195" s="1">
        <f>(H195*G195)*(I195/100)</f>
        <v>12000</v>
      </c>
      <c r="Q195" s="1">
        <f ca="1">J195-Q195</f>
        <v>0</v>
      </c>
    </row>
    <row r="196" spans="1:17" x14ac:dyDescent="0.25">
      <c r="A196" s="1">
        <v>1036</v>
      </c>
      <c r="B196" s="1" t="s">
        <v>64</v>
      </c>
      <c r="C196" s="1" t="s">
        <v>32</v>
      </c>
      <c r="D196" s="1" t="s">
        <v>22</v>
      </c>
      <c r="E196" s="1" t="s">
        <v>18</v>
      </c>
      <c r="F196" s="1" t="s">
        <v>19</v>
      </c>
      <c r="G196" s="1">
        <v>8</v>
      </c>
      <c r="H196" s="1">
        <v>7000</v>
      </c>
      <c r="I196" s="1">
        <v>15</v>
      </c>
      <c r="J196" s="1">
        <v>47600</v>
      </c>
      <c r="K196" s="1">
        <v>10277.86</v>
      </c>
      <c r="L196" s="1" t="str">
        <f>IF(K196&gt;=15000,"High Profit","Low Profit")</f>
        <v>Low Profit</v>
      </c>
      <c r="M196" s="1">
        <f>YEAR(B196)</f>
        <v>2025</v>
      </c>
      <c r="N196" s="1" t="str">
        <f>TEXT(B196,"mmmm")</f>
        <v>November</v>
      </c>
      <c r="O196" s="1" t="str">
        <f>IF(J196&gt;=100000,"Excellent", IF(J196&gt;=50000,"Good","Average"))</f>
        <v>Average</v>
      </c>
      <c r="P196" s="1">
        <f>(H196*G196)*(I196/100)</f>
        <v>8400</v>
      </c>
      <c r="Q196" s="1">
        <f ca="1">J196-Q196</f>
        <v>0</v>
      </c>
    </row>
    <row r="197" spans="1:17" x14ac:dyDescent="0.25">
      <c r="A197" s="1">
        <v>1252</v>
      </c>
      <c r="B197" s="1" t="s">
        <v>206</v>
      </c>
      <c r="C197" s="1" t="s">
        <v>21</v>
      </c>
      <c r="D197" s="1" t="s">
        <v>17</v>
      </c>
      <c r="E197" s="1" t="s">
        <v>18</v>
      </c>
      <c r="F197" s="1" t="s">
        <v>19</v>
      </c>
      <c r="G197" s="1">
        <v>8</v>
      </c>
      <c r="H197" s="1">
        <v>7000</v>
      </c>
      <c r="I197" s="1">
        <v>15</v>
      </c>
      <c r="J197" s="1">
        <v>47600</v>
      </c>
      <c r="K197" s="1">
        <v>9952.2800000000007</v>
      </c>
      <c r="L197" s="1" t="str">
        <f>IF(K197&gt;=15000,"High Profit","Low Profit")</f>
        <v>Low Profit</v>
      </c>
      <c r="M197" s="1">
        <f>YEAR(B197)</f>
        <v>2025</v>
      </c>
      <c r="N197" s="1" t="str">
        <f>TEXT(B197,"mmmm")</f>
        <v>July</v>
      </c>
      <c r="O197" s="1" t="str">
        <f>IF(J197&gt;=100000,"Excellent", IF(J197&gt;=50000,"Good","Average"))</f>
        <v>Average</v>
      </c>
      <c r="P197" s="1">
        <f>(H197*G197)*(I197/100)</f>
        <v>8400</v>
      </c>
      <c r="Q197" s="1">
        <f ca="1">J197-Q197</f>
        <v>0</v>
      </c>
    </row>
    <row r="198" spans="1:17" x14ac:dyDescent="0.25">
      <c r="A198" s="1">
        <v>1309</v>
      </c>
      <c r="B198" s="1" t="s">
        <v>100</v>
      </c>
      <c r="C198" s="1" t="s">
        <v>12</v>
      </c>
      <c r="D198" s="1" t="s">
        <v>13</v>
      </c>
      <c r="E198" s="1" t="s">
        <v>18</v>
      </c>
      <c r="F198" s="1" t="s">
        <v>19</v>
      </c>
      <c r="G198" s="1">
        <v>8</v>
      </c>
      <c r="H198" s="1">
        <v>7000</v>
      </c>
      <c r="I198" s="1">
        <v>15</v>
      </c>
      <c r="J198" s="1">
        <v>47600</v>
      </c>
      <c r="K198" s="1">
        <v>4160.95</v>
      </c>
      <c r="L198" s="1" t="str">
        <f>IF(K198&gt;=15000,"High Profit","Low Profit")</f>
        <v>Low Profit</v>
      </c>
      <c r="M198" s="1">
        <f>YEAR(B198)</f>
        <v>2026</v>
      </c>
      <c r="N198" s="1" t="str">
        <f>TEXT(B198,"mmmm")</f>
        <v>April</v>
      </c>
      <c r="O198" s="1" t="str">
        <f>IF(J198&gt;=100000,"Excellent", IF(J198&gt;=50000,"Good","Average"))</f>
        <v>Average</v>
      </c>
      <c r="P198" s="1">
        <f>(H198*G198)*(I198/100)</f>
        <v>8400</v>
      </c>
      <c r="Q198" s="1">
        <f ca="1">J198-Q198</f>
        <v>0</v>
      </c>
    </row>
    <row r="199" spans="1:17" x14ac:dyDescent="0.25">
      <c r="A199" s="1">
        <v>1426</v>
      </c>
      <c r="B199" s="1" t="s">
        <v>320</v>
      </c>
      <c r="C199" s="1" t="s">
        <v>41</v>
      </c>
      <c r="D199" s="1" t="s">
        <v>22</v>
      </c>
      <c r="E199" s="1" t="s">
        <v>34</v>
      </c>
      <c r="F199" s="1" t="s">
        <v>24</v>
      </c>
      <c r="G199" s="1">
        <v>1</v>
      </c>
      <c r="H199" s="1">
        <v>55000</v>
      </c>
      <c r="I199" s="1">
        <v>15</v>
      </c>
      <c r="J199" s="1">
        <v>46750</v>
      </c>
      <c r="K199" s="1">
        <v>4004.79</v>
      </c>
      <c r="L199" s="1" t="str">
        <f>IF(K199&gt;=15000,"High Profit","Low Profit")</f>
        <v>Low Profit</v>
      </c>
      <c r="M199" s="1">
        <f>YEAR(B199)</f>
        <v>2026</v>
      </c>
      <c r="N199" s="1" t="str">
        <f>TEXT(B199,"mmmm")</f>
        <v>January</v>
      </c>
      <c r="O199" s="1" t="str">
        <f>IF(J199&gt;=100000,"Excellent", IF(J199&gt;=50000,"Good","Average"))</f>
        <v>Average</v>
      </c>
      <c r="P199" s="1">
        <f>(H199*G199)*(I199/100)</f>
        <v>8250</v>
      </c>
      <c r="Q199" s="1">
        <f ca="1">J199-Q199</f>
        <v>0</v>
      </c>
    </row>
    <row r="200" spans="1:17" x14ac:dyDescent="0.25">
      <c r="A200" s="1">
        <v>1150</v>
      </c>
      <c r="B200" s="1" t="s">
        <v>101</v>
      </c>
      <c r="C200" s="1" t="s">
        <v>39</v>
      </c>
      <c r="D200" s="1" t="s">
        <v>17</v>
      </c>
      <c r="E200" s="1" t="s">
        <v>18</v>
      </c>
      <c r="F200" s="1" t="s">
        <v>19</v>
      </c>
      <c r="G200" s="1">
        <v>7</v>
      </c>
      <c r="H200" s="1">
        <v>7000</v>
      </c>
      <c r="I200" s="1">
        <v>5</v>
      </c>
      <c r="J200" s="1">
        <v>46550</v>
      </c>
      <c r="K200" s="1">
        <v>3741.3</v>
      </c>
      <c r="L200" s="1" t="str">
        <f>IF(K200&gt;=15000,"High Profit","Low Profit")</f>
        <v>Low Profit</v>
      </c>
      <c r="M200" s="1">
        <f>YEAR(B200)</f>
        <v>2025</v>
      </c>
      <c r="N200" s="1" t="str">
        <f>TEXT(B200,"mmmm")</f>
        <v>May</v>
      </c>
      <c r="O200" s="1" t="str">
        <f>IF(J200&gt;=100000,"Excellent", IF(J200&gt;=50000,"Good","Average"))</f>
        <v>Average</v>
      </c>
      <c r="P200" s="1">
        <f>(H200*G200)*(I200/100)</f>
        <v>2450</v>
      </c>
      <c r="Q200" s="1">
        <f ca="1">J200-Q200</f>
        <v>0</v>
      </c>
    </row>
    <row r="201" spans="1:17" x14ac:dyDescent="0.25">
      <c r="A201" s="1">
        <v>1237</v>
      </c>
      <c r="B201" s="1" t="s">
        <v>224</v>
      </c>
      <c r="C201" s="1" t="s">
        <v>47</v>
      </c>
      <c r="D201" s="1" t="s">
        <v>17</v>
      </c>
      <c r="E201" s="1" t="s">
        <v>18</v>
      </c>
      <c r="F201" s="1" t="s">
        <v>19</v>
      </c>
      <c r="G201" s="1">
        <v>7</v>
      </c>
      <c r="H201" s="1">
        <v>7000</v>
      </c>
      <c r="I201" s="1">
        <v>5</v>
      </c>
      <c r="J201" s="1">
        <v>46550</v>
      </c>
      <c r="K201" s="1">
        <v>7975.99</v>
      </c>
      <c r="L201" s="1" t="str">
        <f>IF(K201&gt;=15000,"High Profit","Low Profit")</f>
        <v>Low Profit</v>
      </c>
      <c r="M201" s="1">
        <f>YEAR(B201)</f>
        <v>2026</v>
      </c>
      <c r="N201" s="1" t="str">
        <f>TEXT(B201,"mmmm")</f>
        <v>May</v>
      </c>
      <c r="O201" s="1" t="str">
        <f>IF(J201&gt;=100000,"Excellent", IF(J201&gt;=50000,"Good","Average"))</f>
        <v>Average</v>
      </c>
      <c r="P201" s="1">
        <f>(H201*G201)*(I201/100)</f>
        <v>2450</v>
      </c>
      <c r="Q201" s="1">
        <f ca="1">J201-Q201</f>
        <v>0</v>
      </c>
    </row>
    <row r="202" spans="1:17" x14ac:dyDescent="0.25">
      <c r="A202" s="1">
        <v>1401</v>
      </c>
      <c r="B202" s="1" t="s">
        <v>308</v>
      </c>
      <c r="C202" s="1" t="s">
        <v>41</v>
      </c>
      <c r="D202" s="1" t="s">
        <v>27</v>
      </c>
      <c r="E202" s="1" t="s">
        <v>18</v>
      </c>
      <c r="F202" s="1" t="s">
        <v>19</v>
      </c>
      <c r="G202" s="1">
        <v>7</v>
      </c>
      <c r="H202" s="1">
        <v>7000</v>
      </c>
      <c r="I202" s="1">
        <v>5</v>
      </c>
      <c r="J202" s="1">
        <v>46550</v>
      </c>
      <c r="K202" s="1">
        <v>6715.39</v>
      </c>
      <c r="L202" s="1" t="str">
        <f>IF(K202&gt;=15000,"High Profit","Low Profit")</f>
        <v>Low Profit</v>
      </c>
      <c r="M202" s="1">
        <f>YEAR(B202)</f>
        <v>2025</v>
      </c>
      <c r="N202" s="1" t="str">
        <f>TEXT(B202,"mmmm")</f>
        <v>June</v>
      </c>
      <c r="O202" s="1" t="str">
        <f>IF(J202&gt;=100000,"Excellent", IF(J202&gt;=50000,"Good","Average"))</f>
        <v>Average</v>
      </c>
      <c r="P202" s="1">
        <f>(H202*G202)*(I202/100)</f>
        <v>2450</v>
      </c>
      <c r="Q202" s="1">
        <f ca="1">J202-Q202</f>
        <v>0</v>
      </c>
    </row>
    <row r="203" spans="1:17" x14ac:dyDescent="0.25">
      <c r="A203" s="1">
        <v>1217</v>
      </c>
      <c r="B203" s="1" t="s">
        <v>152</v>
      </c>
      <c r="C203" s="1" t="s">
        <v>21</v>
      </c>
      <c r="D203" s="1" t="s">
        <v>13</v>
      </c>
      <c r="E203" s="1" t="s">
        <v>43</v>
      </c>
      <c r="F203" s="1" t="s">
        <v>24</v>
      </c>
      <c r="G203" s="1">
        <v>6</v>
      </c>
      <c r="H203" s="1">
        <v>9000</v>
      </c>
      <c r="I203" s="1">
        <v>15</v>
      </c>
      <c r="J203" s="1">
        <v>45900</v>
      </c>
      <c r="K203" s="1">
        <v>7403.89</v>
      </c>
      <c r="L203" s="1" t="str">
        <f>IF(K203&gt;=15000,"High Profit","Low Profit")</f>
        <v>Low Profit</v>
      </c>
      <c r="M203" s="1">
        <f>YEAR(B203)</f>
        <v>2026</v>
      </c>
      <c r="N203" s="1" t="str">
        <f>TEXT(B203,"mmmm")</f>
        <v>June</v>
      </c>
      <c r="O203" s="1" t="str">
        <f>IF(J203&gt;=100000,"Excellent", IF(J203&gt;=50000,"Good","Average"))</f>
        <v>Average</v>
      </c>
      <c r="P203" s="1">
        <f>(H203*G203)*(I203/100)</f>
        <v>8100</v>
      </c>
      <c r="Q203" s="1">
        <f ca="1">J203-Q203</f>
        <v>0</v>
      </c>
    </row>
    <row r="204" spans="1:17" x14ac:dyDescent="0.25">
      <c r="A204" s="1">
        <v>1066</v>
      </c>
      <c r="B204" s="1" t="s">
        <v>91</v>
      </c>
      <c r="C204" s="1" t="s">
        <v>30</v>
      </c>
      <c r="D204" s="1" t="s">
        <v>22</v>
      </c>
      <c r="E204" s="1" t="s">
        <v>23</v>
      </c>
      <c r="F204" s="1" t="s">
        <v>24</v>
      </c>
      <c r="G204" s="1">
        <v>4</v>
      </c>
      <c r="H204" s="1">
        <v>12000</v>
      </c>
      <c r="I204" s="1">
        <v>5</v>
      </c>
      <c r="J204" s="1">
        <v>45600</v>
      </c>
      <c r="K204" s="1">
        <v>9806.44</v>
      </c>
      <c r="L204" s="1" t="str">
        <f>IF(K204&gt;=15000,"High Profit","Low Profit")</f>
        <v>Low Profit</v>
      </c>
      <c r="M204" s="1">
        <f>YEAR(B204)</f>
        <v>2025</v>
      </c>
      <c r="N204" s="1" t="str">
        <f>TEXT(B204,"mmmm")</f>
        <v>January</v>
      </c>
      <c r="O204" s="1" t="str">
        <f>IF(J204&gt;=100000,"Excellent", IF(J204&gt;=50000,"Good","Average"))</f>
        <v>Average</v>
      </c>
      <c r="P204" s="1">
        <f>(H204*G204)*(I204/100)</f>
        <v>2400</v>
      </c>
      <c r="Q204" s="1">
        <f ca="1">J204-Q204</f>
        <v>0</v>
      </c>
    </row>
    <row r="205" spans="1:17" x14ac:dyDescent="0.25">
      <c r="A205" s="1">
        <v>1123</v>
      </c>
      <c r="B205" s="1" t="s">
        <v>144</v>
      </c>
      <c r="C205" s="1" t="s">
        <v>39</v>
      </c>
      <c r="D205" s="1" t="s">
        <v>27</v>
      </c>
      <c r="E205" s="1" t="s">
        <v>23</v>
      </c>
      <c r="F205" s="1" t="s">
        <v>24</v>
      </c>
      <c r="G205" s="1">
        <v>4</v>
      </c>
      <c r="H205" s="1">
        <v>12000</v>
      </c>
      <c r="I205" s="1">
        <v>5</v>
      </c>
      <c r="J205" s="1">
        <v>45600</v>
      </c>
      <c r="K205" s="1">
        <v>4874.74</v>
      </c>
      <c r="L205" s="1" t="str">
        <f>IF(K205&gt;=15000,"High Profit","Low Profit")</f>
        <v>Low Profit</v>
      </c>
      <c r="M205" s="1">
        <f>YEAR(B205)</f>
        <v>2025</v>
      </c>
      <c r="N205" s="1" t="str">
        <f>TEXT(B205,"mmmm")</f>
        <v>June</v>
      </c>
      <c r="O205" s="1" t="str">
        <f>IF(J205&gt;=100000,"Excellent", IF(J205&gt;=50000,"Good","Average"))</f>
        <v>Average</v>
      </c>
      <c r="P205" s="1">
        <f>(H205*G205)*(I205/100)</f>
        <v>2400</v>
      </c>
      <c r="Q205" s="1">
        <f ca="1">J205-Q205</f>
        <v>0</v>
      </c>
    </row>
    <row r="206" spans="1:17" x14ac:dyDescent="0.25">
      <c r="A206" s="1">
        <v>1273</v>
      </c>
      <c r="B206" s="1" t="s">
        <v>245</v>
      </c>
      <c r="C206" s="1" t="s">
        <v>47</v>
      </c>
      <c r="D206" s="1" t="s">
        <v>27</v>
      </c>
      <c r="E206" s="1" t="s">
        <v>43</v>
      </c>
      <c r="F206" s="1" t="s">
        <v>24</v>
      </c>
      <c r="G206" s="1">
        <v>5</v>
      </c>
      <c r="H206" s="1">
        <v>9000</v>
      </c>
      <c r="I206" s="1">
        <v>0</v>
      </c>
      <c r="J206" s="1">
        <v>45000</v>
      </c>
      <c r="K206" s="1">
        <v>9419.4699999999993</v>
      </c>
      <c r="L206" s="1" t="str">
        <f>IF(K206&gt;=15000,"High Profit","Low Profit")</f>
        <v>Low Profit</v>
      </c>
      <c r="M206" s="1">
        <f>YEAR(B206)</f>
        <v>2025</v>
      </c>
      <c r="N206" s="1" t="str">
        <f>TEXT(B206,"mmmm")</f>
        <v>August</v>
      </c>
      <c r="O206" s="1" t="str">
        <f>IF(J206&gt;=100000,"Excellent", IF(J206&gt;=50000,"Good","Average"))</f>
        <v>Average</v>
      </c>
      <c r="P206" s="1">
        <f>(H206*G206)*(I206/100)</f>
        <v>0</v>
      </c>
      <c r="Q206" s="1">
        <f ca="1">J206-Q206</f>
        <v>0</v>
      </c>
    </row>
    <row r="207" spans="1:17" x14ac:dyDescent="0.25">
      <c r="A207" s="1">
        <v>1341</v>
      </c>
      <c r="B207" s="1" t="s">
        <v>135</v>
      </c>
      <c r="C207" s="1" t="s">
        <v>21</v>
      </c>
      <c r="D207" s="1" t="s">
        <v>27</v>
      </c>
      <c r="E207" s="1" t="s">
        <v>43</v>
      </c>
      <c r="F207" s="1" t="s">
        <v>24</v>
      </c>
      <c r="G207" s="1">
        <v>5</v>
      </c>
      <c r="H207" s="1">
        <v>9000</v>
      </c>
      <c r="I207" s="1">
        <v>0</v>
      </c>
      <c r="J207" s="1">
        <v>45000</v>
      </c>
      <c r="K207" s="1">
        <v>8005.9</v>
      </c>
      <c r="L207" s="1" t="str">
        <f>IF(K207&gt;=15000,"High Profit","Low Profit")</f>
        <v>Low Profit</v>
      </c>
      <c r="M207" s="1">
        <f>YEAR(B207)</f>
        <v>2026</v>
      </c>
      <c r="N207" s="1" t="str">
        <f>TEXT(B207,"mmmm")</f>
        <v>February</v>
      </c>
      <c r="O207" s="1" t="str">
        <f>IF(J207&gt;=100000,"Excellent", IF(J207&gt;=50000,"Good","Average"))</f>
        <v>Average</v>
      </c>
      <c r="P207" s="1">
        <f>(H207*G207)*(I207/100)</f>
        <v>0</v>
      </c>
      <c r="Q207" s="1">
        <f ca="1">J207-Q207</f>
        <v>0</v>
      </c>
    </row>
    <row r="208" spans="1:17" x14ac:dyDescent="0.25">
      <c r="A208" s="1">
        <v>1161</v>
      </c>
      <c r="B208" s="1" t="s">
        <v>171</v>
      </c>
      <c r="C208" s="1" t="s">
        <v>26</v>
      </c>
      <c r="D208" s="1" t="s">
        <v>13</v>
      </c>
      <c r="E208" s="1" t="s">
        <v>18</v>
      </c>
      <c r="F208" s="1" t="s">
        <v>19</v>
      </c>
      <c r="G208" s="1">
        <v>8</v>
      </c>
      <c r="H208" s="1">
        <v>7000</v>
      </c>
      <c r="I208" s="1">
        <v>20</v>
      </c>
      <c r="J208" s="1">
        <v>44800</v>
      </c>
      <c r="K208" s="1">
        <v>5351.27</v>
      </c>
      <c r="L208" s="1" t="str">
        <f>IF(K208&gt;=15000,"High Profit","Low Profit")</f>
        <v>Low Profit</v>
      </c>
      <c r="M208" s="1">
        <f>YEAR(B208)</f>
        <v>2025</v>
      </c>
      <c r="N208" s="1" t="str">
        <f>TEXT(B208,"mmmm")</f>
        <v>June</v>
      </c>
      <c r="O208" s="1" t="str">
        <f>IF(J208&gt;=100000,"Excellent", IF(J208&gt;=50000,"Good","Average"))</f>
        <v>Average</v>
      </c>
      <c r="P208" s="1">
        <f>(H208*G208)*(I208/100)</f>
        <v>11200</v>
      </c>
      <c r="Q208" s="1">
        <f ca="1">J208-Q208</f>
        <v>0</v>
      </c>
    </row>
    <row r="209" spans="1:17" x14ac:dyDescent="0.25">
      <c r="A209" s="1">
        <v>1174</v>
      </c>
      <c r="B209" s="1" t="s">
        <v>179</v>
      </c>
      <c r="C209" s="1" t="s">
        <v>39</v>
      </c>
      <c r="D209" s="1" t="s">
        <v>13</v>
      </c>
      <c r="E209" s="1" t="s">
        <v>18</v>
      </c>
      <c r="F209" s="1" t="s">
        <v>19</v>
      </c>
      <c r="G209" s="1">
        <v>8</v>
      </c>
      <c r="H209" s="1">
        <v>7000</v>
      </c>
      <c r="I209" s="1">
        <v>20</v>
      </c>
      <c r="J209" s="1">
        <v>44800</v>
      </c>
      <c r="K209" s="1">
        <v>8062.14</v>
      </c>
      <c r="L209" s="1" t="str">
        <f>IF(K209&gt;=15000,"High Profit","Low Profit")</f>
        <v>Low Profit</v>
      </c>
      <c r="M209" s="1">
        <f>YEAR(B209)</f>
        <v>2025</v>
      </c>
      <c r="N209" s="1" t="str">
        <f>TEXT(B209,"mmmm")</f>
        <v>March</v>
      </c>
      <c r="O209" s="1" t="str">
        <f>IF(J209&gt;=100000,"Excellent", IF(J209&gt;=50000,"Good","Average"))</f>
        <v>Average</v>
      </c>
      <c r="P209" s="1">
        <f>(H209*G209)*(I209/100)</f>
        <v>11200</v>
      </c>
      <c r="Q209" s="1">
        <f ca="1">J209-Q209</f>
        <v>0</v>
      </c>
    </row>
    <row r="210" spans="1:17" x14ac:dyDescent="0.25">
      <c r="A210" s="1">
        <v>1454</v>
      </c>
      <c r="B210" s="1" t="s">
        <v>330</v>
      </c>
      <c r="C210" s="1" t="s">
        <v>36</v>
      </c>
      <c r="D210" s="1" t="s">
        <v>13</v>
      </c>
      <c r="E210" s="1" t="s">
        <v>18</v>
      </c>
      <c r="F210" s="1" t="s">
        <v>19</v>
      </c>
      <c r="G210" s="1">
        <v>8</v>
      </c>
      <c r="H210" s="1">
        <v>7000</v>
      </c>
      <c r="I210" s="1">
        <v>20</v>
      </c>
      <c r="J210" s="1">
        <v>44800</v>
      </c>
      <c r="K210" s="1">
        <v>3900.05</v>
      </c>
      <c r="L210" s="1" t="str">
        <f>IF(K210&gt;=15000,"High Profit","Low Profit")</f>
        <v>Low Profit</v>
      </c>
      <c r="M210" s="1">
        <f>YEAR(B210)</f>
        <v>2025</v>
      </c>
      <c r="N210" s="1" t="str">
        <f>TEXT(B210,"mmmm")</f>
        <v>October</v>
      </c>
      <c r="O210" s="1" t="str">
        <f>IF(J210&gt;=100000,"Excellent", IF(J210&gt;=50000,"Good","Average"))</f>
        <v>Average</v>
      </c>
      <c r="P210" s="1">
        <f>(H210*G210)*(I210/100)</f>
        <v>11200</v>
      </c>
      <c r="Q210" s="1">
        <f ca="1">J210-Q210</f>
        <v>0</v>
      </c>
    </row>
    <row r="211" spans="1:17" x14ac:dyDescent="0.25">
      <c r="A211" s="1">
        <v>1009</v>
      </c>
      <c r="B211" s="1" t="s">
        <v>31</v>
      </c>
      <c r="C211" s="1" t="s">
        <v>36</v>
      </c>
      <c r="D211" s="1" t="s">
        <v>17</v>
      </c>
      <c r="E211" s="1" t="s">
        <v>18</v>
      </c>
      <c r="F211" s="1" t="s">
        <v>19</v>
      </c>
      <c r="G211" s="1">
        <v>7</v>
      </c>
      <c r="H211" s="1">
        <v>7000</v>
      </c>
      <c r="I211" s="1">
        <v>10</v>
      </c>
      <c r="J211" s="1">
        <v>44100</v>
      </c>
      <c r="K211" s="1">
        <v>11000.61</v>
      </c>
      <c r="L211" s="1" t="str">
        <f>IF(K211&gt;=15000,"High Profit","Low Profit")</f>
        <v>Low Profit</v>
      </c>
      <c r="M211" s="1">
        <f>YEAR(B211)</f>
        <v>2026</v>
      </c>
      <c r="N211" s="1" t="str">
        <f>TEXT(B211,"mmmm")</f>
        <v>February</v>
      </c>
      <c r="O211" s="1" t="str">
        <f>IF(J211&gt;=100000,"Excellent", IF(J211&gt;=50000,"Good","Average"))</f>
        <v>Average</v>
      </c>
      <c r="P211" s="1">
        <f>(H211*G211)*(I211/100)</f>
        <v>4900</v>
      </c>
      <c r="Q211" s="1">
        <f ca="1">J211-Q211</f>
        <v>0</v>
      </c>
    </row>
    <row r="212" spans="1:17" x14ac:dyDescent="0.25">
      <c r="A212" s="1">
        <v>1297</v>
      </c>
      <c r="B212" s="1" t="s">
        <v>262</v>
      </c>
      <c r="C212" s="1" t="s">
        <v>12</v>
      </c>
      <c r="D212" s="1" t="s">
        <v>13</v>
      </c>
      <c r="E212" s="1" t="s">
        <v>18</v>
      </c>
      <c r="F212" s="1" t="s">
        <v>19</v>
      </c>
      <c r="G212" s="1">
        <v>7</v>
      </c>
      <c r="H212" s="1">
        <v>7000</v>
      </c>
      <c r="I212" s="1">
        <v>10</v>
      </c>
      <c r="J212" s="1">
        <v>44100</v>
      </c>
      <c r="K212" s="1">
        <v>3675.2</v>
      </c>
      <c r="L212" s="1" t="str">
        <f>IF(K212&gt;=15000,"High Profit","Low Profit")</f>
        <v>Low Profit</v>
      </c>
      <c r="M212" s="1">
        <f>YEAR(B212)</f>
        <v>2026</v>
      </c>
      <c r="N212" s="1" t="str">
        <f>TEXT(B212,"mmmm")</f>
        <v>January</v>
      </c>
      <c r="O212" s="1" t="str">
        <f>IF(J212&gt;=100000,"Excellent", IF(J212&gt;=50000,"Good","Average"))</f>
        <v>Average</v>
      </c>
      <c r="P212" s="1">
        <f>(H212*G212)*(I212/100)</f>
        <v>4900</v>
      </c>
      <c r="Q212" s="1">
        <f ca="1">J212-Q212</f>
        <v>0</v>
      </c>
    </row>
    <row r="213" spans="1:17" x14ac:dyDescent="0.25">
      <c r="A213" s="1">
        <v>1322</v>
      </c>
      <c r="B213" s="1" t="s">
        <v>226</v>
      </c>
      <c r="C213" s="1" t="s">
        <v>39</v>
      </c>
      <c r="D213" s="1" t="s">
        <v>22</v>
      </c>
      <c r="E213" s="1" t="s">
        <v>18</v>
      </c>
      <c r="F213" s="1" t="s">
        <v>19</v>
      </c>
      <c r="G213" s="1">
        <v>7</v>
      </c>
      <c r="H213" s="1">
        <v>7000</v>
      </c>
      <c r="I213" s="1">
        <v>10</v>
      </c>
      <c r="J213" s="1">
        <v>44100</v>
      </c>
      <c r="K213" s="1">
        <v>5953.73</v>
      </c>
      <c r="L213" s="1" t="str">
        <f>IF(K213&gt;=15000,"High Profit","Low Profit")</f>
        <v>Low Profit</v>
      </c>
      <c r="M213" s="1">
        <f>YEAR(B213)</f>
        <v>2025</v>
      </c>
      <c r="N213" s="1" t="str">
        <f>TEXT(B213,"mmmm")</f>
        <v>September</v>
      </c>
      <c r="O213" s="1" t="str">
        <f>IF(J213&gt;=100000,"Excellent", IF(J213&gt;=50000,"Good","Average"))</f>
        <v>Average</v>
      </c>
      <c r="P213" s="1">
        <f>(H213*G213)*(I213/100)</f>
        <v>4900</v>
      </c>
      <c r="Q213" s="1">
        <f ca="1">J213-Q213</f>
        <v>0</v>
      </c>
    </row>
    <row r="214" spans="1:17" x14ac:dyDescent="0.25">
      <c r="A214" s="1">
        <v>1206</v>
      </c>
      <c r="B214" s="1" t="s">
        <v>88</v>
      </c>
      <c r="C214" s="1" t="s">
        <v>47</v>
      </c>
      <c r="D214" s="1" t="s">
        <v>27</v>
      </c>
      <c r="E214" s="1" t="s">
        <v>34</v>
      </c>
      <c r="F214" s="1" t="s">
        <v>24</v>
      </c>
      <c r="G214" s="1">
        <v>1</v>
      </c>
      <c r="H214" s="1">
        <v>55000</v>
      </c>
      <c r="I214" s="1">
        <v>20</v>
      </c>
      <c r="J214" s="1">
        <v>44000</v>
      </c>
      <c r="K214" s="1">
        <v>3930.28</v>
      </c>
      <c r="L214" s="1" t="str">
        <f>IF(K214&gt;=15000,"High Profit","Low Profit")</f>
        <v>Low Profit</v>
      </c>
      <c r="M214" s="1">
        <f>YEAR(B214)</f>
        <v>2026</v>
      </c>
      <c r="N214" s="1" t="str">
        <f>TEXT(B214,"mmmm")</f>
        <v>January</v>
      </c>
      <c r="O214" s="1" t="str">
        <f>IF(J214&gt;=100000,"Excellent", IF(J214&gt;=50000,"Good","Average"))</f>
        <v>Average</v>
      </c>
      <c r="P214" s="1">
        <f>(H214*G214)*(I214/100)</f>
        <v>11000</v>
      </c>
      <c r="Q214" s="1">
        <f ca="1">J214-Q214</f>
        <v>0</v>
      </c>
    </row>
    <row r="215" spans="1:17" x14ac:dyDescent="0.25">
      <c r="A215" s="1">
        <v>1263</v>
      </c>
      <c r="B215" s="1" t="s">
        <v>240</v>
      </c>
      <c r="C215" s="1" t="s">
        <v>45</v>
      </c>
      <c r="D215" s="1" t="s">
        <v>17</v>
      </c>
      <c r="E215" s="1" t="s">
        <v>34</v>
      </c>
      <c r="F215" s="1" t="s">
        <v>24</v>
      </c>
      <c r="G215" s="1">
        <v>1</v>
      </c>
      <c r="H215" s="1">
        <v>55000</v>
      </c>
      <c r="I215" s="1">
        <v>20</v>
      </c>
      <c r="J215" s="1">
        <v>44000</v>
      </c>
      <c r="K215" s="1">
        <v>4814.2299999999996</v>
      </c>
      <c r="L215" s="1" t="str">
        <f>IF(K215&gt;=15000,"High Profit","Low Profit")</f>
        <v>Low Profit</v>
      </c>
      <c r="M215" s="1">
        <f>YEAR(B215)</f>
        <v>2026</v>
      </c>
      <c r="N215" s="1" t="str">
        <f>TEXT(B215,"mmmm")</f>
        <v>January</v>
      </c>
      <c r="O215" s="1" t="str">
        <f>IF(J215&gt;=100000,"Excellent", IF(J215&gt;=50000,"Good","Average"))</f>
        <v>Average</v>
      </c>
      <c r="P215" s="1">
        <f>(H215*G215)*(I215/100)</f>
        <v>11000</v>
      </c>
      <c r="Q215" s="1">
        <f ca="1">J215-Q215</f>
        <v>0</v>
      </c>
    </row>
    <row r="216" spans="1:17" x14ac:dyDescent="0.25">
      <c r="A216" s="1">
        <v>1335</v>
      </c>
      <c r="B216" s="1" t="s">
        <v>91</v>
      </c>
      <c r="C216" s="1" t="s">
        <v>30</v>
      </c>
      <c r="D216" s="1" t="s">
        <v>13</v>
      </c>
      <c r="E216" s="1" t="s">
        <v>23</v>
      </c>
      <c r="F216" s="1" t="s">
        <v>24</v>
      </c>
      <c r="G216" s="1">
        <v>4</v>
      </c>
      <c r="H216" s="1">
        <v>12000</v>
      </c>
      <c r="I216" s="1">
        <v>10</v>
      </c>
      <c r="J216" s="1">
        <v>43200</v>
      </c>
      <c r="K216" s="1">
        <v>3533.35</v>
      </c>
      <c r="L216" s="1" t="str">
        <f>IF(K216&gt;=15000,"High Profit","Low Profit")</f>
        <v>Low Profit</v>
      </c>
      <c r="M216" s="1">
        <f>YEAR(B216)</f>
        <v>2025</v>
      </c>
      <c r="N216" s="1" t="str">
        <f>TEXT(B216,"mmmm")</f>
        <v>January</v>
      </c>
      <c r="O216" s="1" t="str">
        <f>IF(J216&gt;=100000,"Excellent", IF(J216&gt;=50000,"Good","Average"))</f>
        <v>Average</v>
      </c>
      <c r="P216" s="1">
        <f>(H216*G216)*(I216/100)</f>
        <v>4800</v>
      </c>
      <c r="Q216" s="1">
        <f ca="1">J216-Q216</f>
        <v>0</v>
      </c>
    </row>
    <row r="217" spans="1:17" x14ac:dyDescent="0.25">
      <c r="A217" s="1">
        <v>1349</v>
      </c>
      <c r="B217" s="1" t="s">
        <v>148</v>
      </c>
      <c r="C217" s="1" t="s">
        <v>47</v>
      </c>
      <c r="D217" s="1" t="s">
        <v>22</v>
      </c>
      <c r="E217" s="1" t="s">
        <v>23</v>
      </c>
      <c r="F217" s="1" t="s">
        <v>24</v>
      </c>
      <c r="G217" s="1">
        <v>4</v>
      </c>
      <c r="H217" s="1">
        <v>12000</v>
      </c>
      <c r="I217" s="1">
        <v>10</v>
      </c>
      <c r="J217" s="1">
        <v>43200</v>
      </c>
      <c r="K217" s="1">
        <v>10344.92</v>
      </c>
      <c r="L217" s="1" t="str">
        <f>IF(K217&gt;=15000,"High Profit","Low Profit")</f>
        <v>Low Profit</v>
      </c>
      <c r="M217" s="1">
        <f>YEAR(B217)</f>
        <v>2025</v>
      </c>
      <c r="N217" s="1" t="str">
        <f>TEXT(B217,"mmmm")</f>
        <v>January</v>
      </c>
      <c r="O217" s="1" t="str">
        <f>IF(J217&gt;=100000,"Excellent", IF(J217&gt;=50000,"Good","Average"))</f>
        <v>Average</v>
      </c>
      <c r="P217" s="1">
        <f>(H217*G217)*(I217/100)</f>
        <v>4800</v>
      </c>
      <c r="Q217" s="1">
        <f ca="1">J217-Q217</f>
        <v>0</v>
      </c>
    </row>
    <row r="218" spans="1:17" x14ac:dyDescent="0.25">
      <c r="A218" s="1">
        <v>1128</v>
      </c>
      <c r="B218" s="1" t="s">
        <v>148</v>
      </c>
      <c r="C218" s="1" t="s">
        <v>36</v>
      </c>
      <c r="D218" s="1" t="s">
        <v>22</v>
      </c>
      <c r="E218" s="1" t="s">
        <v>43</v>
      </c>
      <c r="F218" s="1" t="s">
        <v>24</v>
      </c>
      <c r="G218" s="1">
        <v>5</v>
      </c>
      <c r="H218" s="1">
        <v>9000</v>
      </c>
      <c r="I218" s="1">
        <v>5</v>
      </c>
      <c r="J218" s="1">
        <v>42750</v>
      </c>
      <c r="K218" s="1">
        <v>10426.459999999999</v>
      </c>
      <c r="L218" s="1" t="str">
        <f>IF(K218&gt;=15000,"High Profit","Low Profit")</f>
        <v>Low Profit</v>
      </c>
      <c r="M218" s="1">
        <f>YEAR(B218)</f>
        <v>2025</v>
      </c>
      <c r="N218" s="1" t="str">
        <f>TEXT(B218,"mmmm")</f>
        <v>January</v>
      </c>
      <c r="O218" s="1" t="str">
        <f>IF(J218&gt;=100000,"Excellent", IF(J218&gt;=50000,"Good","Average"))</f>
        <v>Average</v>
      </c>
      <c r="P218" s="1">
        <f>(H218*G218)*(I218/100)</f>
        <v>2250</v>
      </c>
      <c r="Q218" s="1">
        <f ca="1">J218-Q218</f>
        <v>0</v>
      </c>
    </row>
    <row r="219" spans="1:17" x14ac:dyDescent="0.25">
      <c r="A219" s="1">
        <v>1015</v>
      </c>
      <c r="B219" s="1" t="s">
        <v>46</v>
      </c>
      <c r="C219" s="1" t="s">
        <v>47</v>
      </c>
      <c r="D219" s="1" t="s">
        <v>17</v>
      </c>
      <c r="E219" s="1" t="s">
        <v>18</v>
      </c>
      <c r="F219" s="1" t="s">
        <v>19</v>
      </c>
      <c r="G219" s="1">
        <v>6</v>
      </c>
      <c r="H219" s="1">
        <v>7000</v>
      </c>
      <c r="I219" s="1">
        <v>0</v>
      </c>
      <c r="J219" s="1">
        <v>42000</v>
      </c>
      <c r="K219" s="1">
        <v>9041.82</v>
      </c>
      <c r="L219" s="1" t="str">
        <f>IF(K219&gt;=15000,"High Profit","Low Profit")</f>
        <v>Low Profit</v>
      </c>
      <c r="M219" s="1">
        <f>YEAR(B219)</f>
        <v>2026</v>
      </c>
      <c r="N219" s="1" t="str">
        <f>TEXT(B219,"mmmm")</f>
        <v>March</v>
      </c>
      <c r="O219" s="1" t="str">
        <f>IF(J219&gt;=100000,"Excellent", IF(J219&gt;=50000,"Good","Average"))</f>
        <v>Average</v>
      </c>
      <c r="P219" s="1">
        <f>(H219*G219)*(I219/100)</f>
        <v>0</v>
      </c>
      <c r="Q219" s="1">
        <f ca="1">J219-Q219</f>
        <v>0</v>
      </c>
    </row>
    <row r="220" spans="1:17" x14ac:dyDescent="0.25">
      <c r="A220" s="1">
        <v>1382</v>
      </c>
      <c r="B220" s="1" t="s">
        <v>142</v>
      </c>
      <c r="C220" s="1" t="s">
        <v>32</v>
      </c>
      <c r="D220" s="1" t="s">
        <v>13</v>
      </c>
      <c r="E220" s="1" t="s">
        <v>18</v>
      </c>
      <c r="F220" s="1" t="s">
        <v>19</v>
      </c>
      <c r="G220" s="1">
        <v>6</v>
      </c>
      <c r="H220" s="1">
        <v>7000</v>
      </c>
      <c r="I220" s="1">
        <v>0</v>
      </c>
      <c r="J220" s="1">
        <v>42000</v>
      </c>
      <c r="K220" s="1">
        <v>6905.34</v>
      </c>
      <c r="L220" s="1" t="str">
        <f>IF(K220&gt;=15000,"High Profit","Low Profit")</f>
        <v>Low Profit</v>
      </c>
      <c r="M220" s="1">
        <f>YEAR(B220)</f>
        <v>2025</v>
      </c>
      <c r="N220" s="1" t="str">
        <f>TEXT(B220,"mmmm")</f>
        <v>May</v>
      </c>
      <c r="O220" s="1" t="str">
        <f>IF(J220&gt;=100000,"Excellent", IF(J220&gt;=50000,"Good","Average"))</f>
        <v>Average</v>
      </c>
      <c r="P220" s="1">
        <f>(H220*G220)*(I220/100)</f>
        <v>0</v>
      </c>
      <c r="Q220" s="1">
        <f ca="1">J220-Q220</f>
        <v>0</v>
      </c>
    </row>
    <row r="221" spans="1:17" x14ac:dyDescent="0.25">
      <c r="A221" s="1">
        <v>1480</v>
      </c>
      <c r="B221" s="1" t="s">
        <v>304</v>
      </c>
      <c r="C221" s="1" t="s">
        <v>21</v>
      </c>
      <c r="D221" s="1" t="s">
        <v>27</v>
      </c>
      <c r="E221" s="1" t="s">
        <v>18</v>
      </c>
      <c r="F221" s="1" t="s">
        <v>19</v>
      </c>
      <c r="G221" s="1">
        <v>6</v>
      </c>
      <c r="H221" s="1">
        <v>7000</v>
      </c>
      <c r="I221" s="1">
        <v>0</v>
      </c>
      <c r="J221" s="1">
        <v>42000</v>
      </c>
      <c r="K221" s="1">
        <v>6938.55</v>
      </c>
      <c r="L221" s="1" t="str">
        <f>IF(K221&gt;=15000,"High Profit","Low Profit")</f>
        <v>Low Profit</v>
      </c>
      <c r="M221" s="1">
        <f>YEAR(B221)</f>
        <v>2025</v>
      </c>
      <c r="N221" s="1" t="str">
        <f>TEXT(B221,"mmmm")</f>
        <v>March</v>
      </c>
      <c r="O221" s="1" t="str">
        <f>IF(J221&gt;=100000,"Excellent", IF(J221&gt;=50000,"Good","Average"))</f>
        <v>Average</v>
      </c>
      <c r="P221" s="1">
        <f>(H221*G221)*(I221/100)</f>
        <v>0</v>
      </c>
      <c r="Q221" s="1">
        <f ca="1">J221-Q221</f>
        <v>0</v>
      </c>
    </row>
    <row r="222" spans="1:17" x14ac:dyDescent="0.25">
      <c r="A222" s="1">
        <v>1145</v>
      </c>
      <c r="B222" s="1" t="s">
        <v>160</v>
      </c>
      <c r="C222" s="1" t="s">
        <v>39</v>
      </c>
      <c r="D222" s="1" t="s">
        <v>27</v>
      </c>
      <c r="E222" s="1" t="s">
        <v>23</v>
      </c>
      <c r="F222" s="1" t="s">
        <v>24</v>
      </c>
      <c r="G222" s="1">
        <v>4</v>
      </c>
      <c r="H222" s="1">
        <v>12000</v>
      </c>
      <c r="I222" s="1">
        <v>15</v>
      </c>
      <c r="J222" s="1">
        <v>40800</v>
      </c>
      <c r="K222" s="1">
        <v>4744.3999999999996</v>
      </c>
      <c r="L222" s="1" t="str">
        <f>IF(K222&gt;=15000,"High Profit","Low Profit")</f>
        <v>Low Profit</v>
      </c>
      <c r="M222" s="1">
        <f>YEAR(B222)</f>
        <v>2025</v>
      </c>
      <c r="N222" s="1" t="str">
        <f>TEXT(B222,"mmmm")</f>
        <v>September</v>
      </c>
      <c r="O222" s="1" t="str">
        <f>IF(J222&gt;=100000,"Excellent", IF(J222&gt;=50000,"Good","Average"))</f>
        <v>Average</v>
      </c>
      <c r="P222" s="1">
        <f>(H222*G222)*(I222/100)</f>
        <v>7200</v>
      </c>
      <c r="Q222" s="1">
        <f ca="1">J222-Q222</f>
        <v>0</v>
      </c>
    </row>
    <row r="223" spans="1:17" x14ac:dyDescent="0.25">
      <c r="A223" s="1">
        <v>1152</v>
      </c>
      <c r="B223" s="1" t="s">
        <v>139</v>
      </c>
      <c r="C223" s="1" t="s">
        <v>45</v>
      </c>
      <c r="D223" s="1" t="s">
        <v>22</v>
      </c>
      <c r="E223" s="1" t="s">
        <v>18</v>
      </c>
      <c r="F223" s="1" t="s">
        <v>19</v>
      </c>
      <c r="G223" s="1">
        <v>7</v>
      </c>
      <c r="H223" s="1">
        <v>7000</v>
      </c>
      <c r="I223" s="1">
        <v>20</v>
      </c>
      <c r="J223" s="1">
        <v>39200</v>
      </c>
      <c r="K223" s="1">
        <v>4728.32</v>
      </c>
      <c r="L223" s="1" t="str">
        <f>IF(K223&gt;=15000,"High Profit","Low Profit")</f>
        <v>Low Profit</v>
      </c>
      <c r="M223" s="1">
        <f>YEAR(B223)</f>
        <v>2026</v>
      </c>
      <c r="N223" s="1" t="str">
        <f>TEXT(B223,"mmmm")</f>
        <v>March</v>
      </c>
      <c r="O223" s="1" t="str">
        <f>IF(J223&gt;=100000,"Excellent", IF(J223&gt;=50000,"Good","Average"))</f>
        <v>Average</v>
      </c>
      <c r="P223" s="1">
        <f>(H223*G223)*(I223/100)</f>
        <v>9800</v>
      </c>
      <c r="Q223" s="1">
        <f ca="1">J223-Q223</f>
        <v>0</v>
      </c>
    </row>
    <row r="224" spans="1:17" x14ac:dyDescent="0.25">
      <c r="A224" s="1">
        <v>1045</v>
      </c>
      <c r="B224" s="1" t="s">
        <v>72</v>
      </c>
      <c r="C224" s="1" t="s">
        <v>30</v>
      </c>
      <c r="D224" s="1" t="s">
        <v>17</v>
      </c>
      <c r="E224" s="1" t="s">
        <v>23</v>
      </c>
      <c r="F224" s="1" t="s">
        <v>24</v>
      </c>
      <c r="G224" s="1">
        <v>4</v>
      </c>
      <c r="H224" s="1">
        <v>12000</v>
      </c>
      <c r="I224" s="1">
        <v>20</v>
      </c>
      <c r="J224" s="1">
        <v>38400</v>
      </c>
      <c r="K224" s="1">
        <v>3276.37</v>
      </c>
      <c r="L224" s="1" t="str">
        <f>IF(K224&gt;=15000,"High Profit","Low Profit")</f>
        <v>Low Profit</v>
      </c>
      <c r="M224" s="1">
        <f>YEAR(B224)</f>
        <v>2026</v>
      </c>
      <c r="N224" s="1" t="str">
        <f>TEXT(B224,"mmmm")</f>
        <v>January</v>
      </c>
      <c r="O224" s="1" t="str">
        <f>IF(J224&gt;=100000,"Excellent", IF(J224&gt;=50000,"Good","Average"))</f>
        <v>Average</v>
      </c>
      <c r="P224" s="1">
        <f>(H224*G224)*(I224/100)</f>
        <v>9600</v>
      </c>
      <c r="Q224" s="1">
        <f ca="1">J224-Q224</f>
        <v>0</v>
      </c>
    </row>
    <row r="225" spans="1:17" x14ac:dyDescent="0.25">
      <c r="A225" s="1">
        <v>1166</v>
      </c>
      <c r="B225" s="1" t="s">
        <v>173</v>
      </c>
      <c r="C225" s="1" t="s">
        <v>30</v>
      </c>
      <c r="D225" s="1" t="s">
        <v>13</v>
      </c>
      <c r="E225" s="1" t="s">
        <v>23</v>
      </c>
      <c r="F225" s="1" t="s">
        <v>24</v>
      </c>
      <c r="G225" s="1">
        <v>4</v>
      </c>
      <c r="H225" s="1">
        <v>12000</v>
      </c>
      <c r="I225" s="1">
        <v>20</v>
      </c>
      <c r="J225" s="1">
        <v>38400</v>
      </c>
      <c r="K225" s="1">
        <v>6267.6</v>
      </c>
      <c r="L225" s="1" t="str">
        <f>IF(K225&gt;=15000,"High Profit","Low Profit")</f>
        <v>Low Profit</v>
      </c>
      <c r="M225" s="1">
        <f>YEAR(B225)</f>
        <v>2026</v>
      </c>
      <c r="N225" s="1" t="str">
        <f>TEXT(B225,"mmmm")</f>
        <v>January</v>
      </c>
      <c r="O225" s="1" t="str">
        <f>IF(J225&gt;=100000,"Excellent", IF(J225&gt;=50000,"Good","Average"))</f>
        <v>Average</v>
      </c>
      <c r="P225" s="1">
        <f>(H225*G225)*(I225/100)</f>
        <v>9600</v>
      </c>
      <c r="Q225" s="1">
        <f ca="1">J225-Q225</f>
        <v>0</v>
      </c>
    </row>
    <row r="226" spans="1:17" x14ac:dyDescent="0.25">
      <c r="A226" s="1">
        <v>1478</v>
      </c>
      <c r="B226" s="1" t="s">
        <v>104</v>
      </c>
      <c r="C226" s="1" t="s">
        <v>21</v>
      </c>
      <c r="D226" s="1" t="s">
        <v>27</v>
      </c>
      <c r="E226" s="1" t="s">
        <v>23</v>
      </c>
      <c r="F226" s="1" t="s">
        <v>24</v>
      </c>
      <c r="G226" s="1">
        <v>4</v>
      </c>
      <c r="H226" s="1">
        <v>12000</v>
      </c>
      <c r="I226" s="1">
        <v>20</v>
      </c>
      <c r="J226" s="1">
        <v>38400</v>
      </c>
      <c r="K226" s="1">
        <v>3114.82</v>
      </c>
      <c r="L226" s="1" t="str">
        <f>IF(K226&gt;=15000,"High Profit","Low Profit")</f>
        <v>Low Profit</v>
      </c>
      <c r="M226" s="1">
        <f>YEAR(B226)</f>
        <v>2026</v>
      </c>
      <c r="N226" s="1" t="str">
        <f>TEXT(B226,"mmmm")</f>
        <v>June</v>
      </c>
      <c r="O226" s="1" t="str">
        <f>IF(J226&gt;=100000,"Excellent", IF(J226&gt;=50000,"Good","Average"))</f>
        <v>Average</v>
      </c>
      <c r="P226" s="1">
        <f>(H226*G226)*(I226/100)</f>
        <v>9600</v>
      </c>
      <c r="Q226" s="1">
        <f ca="1">J226-Q226</f>
        <v>0</v>
      </c>
    </row>
    <row r="227" spans="1:17" x14ac:dyDescent="0.25">
      <c r="A227" s="1">
        <v>1102</v>
      </c>
      <c r="B227" s="1" t="s">
        <v>125</v>
      </c>
      <c r="C227" s="1" t="s">
        <v>30</v>
      </c>
      <c r="D227" s="1" t="s">
        <v>13</v>
      </c>
      <c r="E227" s="1" t="s">
        <v>43</v>
      </c>
      <c r="F227" s="1" t="s">
        <v>24</v>
      </c>
      <c r="G227" s="1">
        <v>5</v>
      </c>
      <c r="H227" s="1">
        <v>9000</v>
      </c>
      <c r="I227" s="1">
        <v>15</v>
      </c>
      <c r="J227" s="1">
        <v>38250</v>
      </c>
      <c r="K227" s="1">
        <v>5584.58</v>
      </c>
      <c r="L227" s="1" t="str">
        <f>IF(K227&gt;=15000,"High Profit","Low Profit")</f>
        <v>Low Profit</v>
      </c>
      <c r="M227" s="1">
        <f>YEAR(B227)</f>
        <v>2025</v>
      </c>
      <c r="N227" s="1" t="str">
        <f>TEXT(B227,"mmmm")</f>
        <v>October</v>
      </c>
      <c r="O227" s="1" t="str">
        <f>IF(J227&gt;=100000,"Excellent", IF(J227&gt;=50000,"Good","Average"))</f>
        <v>Average</v>
      </c>
      <c r="P227" s="1">
        <f>(H227*G227)*(I227/100)</f>
        <v>6750</v>
      </c>
      <c r="Q227" s="1">
        <f ca="1">J227-Q227</f>
        <v>0</v>
      </c>
    </row>
    <row r="228" spans="1:17" x14ac:dyDescent="0.25">
      <c r="A228" s="1">
        <v>1133</v>
      </c>
      <c r="B228" s="1" t="s">
        <v>151</v>
      </c>
      <c r="C228" s="1" t="s">
        <v>41</v>
      </c>
      <c r="D228" s="1" t="s">
        <v>22</v>
      </c>
      <c r="E228" s="1" t="s">
        <v>43</v>
      </c>
      <c r="F228" s="1" t="s">
        <v>24</v>
      </c>
      <c r="G228" s="1">
        <v>5</v>
      </c>
      <c r="H228" s="1">
        <v>9000</v>
      </c>
      <c r="I228" s="1">
        <v>15</v>
      </c>
      <c r="J228" s="1">
        <v>38250</v>
      </c>
      <c r="K228" s="1">
        <v>9206.44</v>
      </c>
      <c r="L228" s="1" t="str">
        <f>IF(K228&gt;=15000,"High Profit","Low Profit")</f>
        <v>Low Profit</v>
      </c>
      <c r="M228" s="1">
        <f>YEAR(B228)</f>
        <v>2025</v>
      </c>
      <c r="N228" s="1" t="str">
        <f>TEXT(B228,"mmmm")</f>
        <v>August</v>
      </c>
      <c r="O228" s="1" t="str">
        <f>IF(J228&gt;=100000,"Excellent", IF(J228&gt;=50000,"Good","Average"))</f>
        <v>Average</v>
      </c>
      <c r="P228" s="1">
        <f>(H228*G228)*(I228/100)</f>
        <v>6750</v>
      </c>
      <c r="Q228" s="1">
        <f ca="1">J228-Q228</f>
        <v>0</v>
      </c>
    </row>
    <row r="229" spans="1:17" x14ac:dyDescent="0.25">
      <c r="A229" s="1">
        <v>1185</v>
      </c>
      <c r="B229" s="1" t="s">
        <v>187</v>
      </c>
      <c r="C229" s="1" t="s">
        <v>39</v>
      </c>
      <c r="D229" s="1" t="s">
        <v>13</v>
      </c>
      <c r="E229" s="1" t="s">
        <v>43</v>
      </c>
      <c r="F229" s="1" t="s">
        <v>24</v>
      </c>
      <c r="G229" s="1">
        <v>5</v>
      </c>
      <c r="H229" s="1">
        <v>9000</v>
      </c>
      <c r="I229" s="1">
        <v>15</v>
      </c>
      <c r="J229" s="1">
        <v>38250</v>
      </c>
      <c r="K229" s="1">
        <v>9082.36</v>
      </c>
      <c r="L229" s="1" t="str">
        <f>IF(K229&gt;=15000,"High Profit","Low Profit")</f>
        <v>Low Profit</v>
      </c>
      <c r="M229" s="1">
        <f>YEAR(B229)</f>
        <v>2026</v>
      </c>
      <c r="N229" s="1" t="str">
        <f>TEXT(B229,"mmmm")</f>
        <v>March</v>
      </c>
      <c r="O229" s="1" t="str">
        <f>IF(J229&gt;=100000,"Excellent", IF(J229&gt;=50000,"Good","Average"))</f>
        <v>Average</v>
      </c>
      <c r="P229" s="1">
        <f>(H229*G229)*(I229/100)</f>
        <v>6750</v>
      </c>
      <c r="Q229" s="1">
        <f ca="1">J229-Q229</f>
        <v>0</v>
      </c>
    </row>
    <row r="230" spans="1:17" x14ac:dyDescent="0.25">
      <c r="A230" s="1">
        <v>1197</v>
      </c>
      <c r="B230" s="1" t="s">
        <v>197</v>
      </c>
      <c r="C230" s="1" t="s">
        <v>39</v>
      </c>
      <c r="D230" s="1" t="s">
        <v>13</v>
      </c>
      <c r="E230" s="1" t="s">
        <v>43</v>
      </c>
      <c r="F230" s="1" t="s">
        <v>24</v>
      </c>
      <c r="G230" s="1">
        <v>5</v>
      </c>
      <c r="H230" s="1">
        <v>9000</v>
      </c>
      <c r="I230" s="1">
        <v>15</v>
      </c>
      <c r="J230" s="1">
        <v>38250</v>
      </c>
      <c r="K230" s="1">
        <v>6541.64</v>
      </c>
      <c r="L230" s="1" t="str">
        <f>IF(K230&gt;=15000,"High Profit","Low Profit")</f>
        <v>Low Profit</v>
      </c>
      <c r="M230" s="1">
        <f>YEAR(B230)</f>
        <v>2026</v>
      </c>
      <c r="N230" s="1" t="str">
        <f>TEXT(B230,"mmmm")</f>
        <v>June</v>
      </c>
      <c r="O230" s="1" t="str">
        <f>IF(J230&gt;=100000,"Excellent", IF(J230&gt;=50000,"Good","Average"))</f>
        <v>Average</v>
      </c>
      <c r="P230" s="1">
        <f>(H230*G230)*(I230/100)</f>
        <v>6750</v>
      </c>
      <c r="Q230" s="1">
        <f ca="1">J230-Q230</f>
        <v>0</v>
      </c>
    </row>
    <row r="231" spans="1:17" x14ac:dyDescent="0.25">
      <c r="A231" s="1">
        <v>1218</v>
      </c>
      <c r="B231" s="1" t="s">
        <v>211</v>
      </c>
      <c r="C231" s="1" t="s">
        <v>12</v>
      </c>
      <c r="D231" s="1" t="s">
        <v>13</v>
      </c>
      <c r="E231" s="1" t="s">
        <v>18</v>
      </c>
      <c r="F231" s="1" t="s">
        <v>19</v>
      </c>
      <c r="G231" s="1">
        <v>6</v>
      </c>
      <c r="H231" s="1">
        <v>7000</v>
      </c>
      <c r="I231" s="1">
        <v>10</v>
      </c>
      <c r="J231" s="1">
        <v>37800</v>
      </c>
      <c r="K231" s="1">
        <v>4329.1099999999997</v>
      </c>
      <c r="L231" s="1" t="str">
        <f>IF(K231&gt;=15000,"High Profit","Low Profit")</f>
        <v>Low Profit</v>
      </c>
      <c r="M231" s="1">
        <f>YEAR(B231)</f>
        <v>2026</v>
      </c>
      <c r="N231" s="1" t="str">
        <f>TEXT(B231,"mmmm")</f>
        <v>June</v>
      </c>
      <c r="O231" s="1" t="str">
        <f>IF(J231&gt;=100000,"Excellent", IF(J231&gt;=50000,"Good","Average"))</f>
        <v>Average</v>
      </c>
      <c r="P231" s="1">
        <f>(H231*G231)*(I231/100)</f>
        <v>4200</v>
      </c>
      <c r="Q231" s="1">
        <f ca="1">J231-Q231</f>
        <v>0</v>
      </c>
    </row>
    <row r="232" spans="1:17" x14ac:dyDescent="0.25">
      <c r="A232" s="1">
        <v>1083</v>
      </c>
      <c r="B232" s="1" t="s">
        <v>107</v>
      </c>
      <c r="C232" s="1" t="s">
        <v>47</v>
      </c>
      <c r="D232" s="1" t="s">
        <v>17</v>
      </c>
      <c r="E232" s="1" t="s">
        <v>23</v>
      </c>
      <c r="F232" s="1" t="s">
        <v>24</v>
      </c>
      <c r="G232" s="1">
        <v>3</v>
      </c>
      <c r="H232" s="1">
        <v>12000</v>
      </c>
      <c r="I232" s="1">
        <v>0</v>
      </c>
      <c r="J232" s="1">
        <v>36000</v>
      </c>
      <c r="K232" s="1">
        <v>4290.46</v>
      </c>
      <c r="L232" s="1" t="str">
        <f>IF(K232&gt;=15000,"High Profit","Low Profit")</f>
        <v>Low Profit</v>
      </c>
      <c r="M232" s="1">
        <f>YEAR(B232)</f>
        <v>2025</v>
      </c>
      <c r="N232" s="1" t="str">
        <f>TEXT(B232,"mmmm")</f>
        <v>November</v>
      </c>
      <c r="O232" s="1" t="str">
        <f>IF(J232&gt;=100000,"Excellent", IF(J232&gt;=50000,"Good","Average"))</f>
        <v>Average</v>
      </c>
      <c r="P232" s="1">
        <f>(H232*G232)*(I232/100)</f>
        <v>0</v>
      </c>
      <c r="Q232" s="1">
        <f ca="1">J232-Q232</f>
        <v>0</v>
      </c>
    </row>
    <row r="233" spans="1:17" x14ac:dyDescent="0.25">
      <c r="A233" s="1">
        <v>1136</v>
      </c>
      <c r="B233" s="1" t="s">
        <v>154</v>
      </c>
      <c r="C233" s="1" t="s">
        <v>41</v>
      </c>
      <c r="D233" s="1" t="s">
        <v>27</v>
      </c>
      <c r="E233" s="1" t="s">
        <v>43</v>
      </c>
      <c r="F233" s="1" t="s">
        <v>24</v>
      </c>
      <c r="G233" s="1">
        <v>4</v>
      </c>
      <c r="H233" s="1">
        <v>9000</v>
      </c>
      <c r="I233" s="1">
        <v>0</v>
      </c>
      <c r="J233" s="1">
        <v>36000</v>
      </c>
      <c r="K233" s="1">
        <v>6626.75</v>
      </c>
      <c r="L233" s="1" t="str">
        <f>IF(K233&gt;=15000,"High Profit","Low Profit")</f>
        <v>Low Profit</v>
      </c>
      <c r="M233" s="1">
        <f>YEAR(B233)</f>
        <v>2025</v>
      </c>
      <c r="N233" s="1" t="str">
        <f>TEXT(B233,"mmmm")</f>
        <v>May</v>
      </c>
      <c r="O233" s="1" t="str">
        <f>IF(J233&gt;=100000,"Excellent", IF(J233&gt;=50000,"Good","Average"))</f>
        <v>Average</v>
      </c>
      <c r="P233" s="1">
        <f>(H233*G233)*(I233/100)</f>
        <v>0</v>
      </c>
      <c r="Q233" s="1">
        <f ca="1">J233-Q233</f>
        <v>0</v>
      </c>
    </row>
    <row r="234" spans="1:17" x14ac:dyDescent="0.25">
      <c r="A234" s="1">
        <v>1210</v>
      </c>
      <c r="B234" s="1" t="s">
        <v>205</v>
      </c>
      <c r="C234" s="1" t="s">
        <v>39</v>
      </c>
      <c r="D234" s="1" t="s">
        <v>13</v>
      </c>
      <c r="E234" s="1" t="s">
        <v>43</v>
      </c>
      <c r="F234" s="1" t="s">
        <v>24</v>
      </c>
      <c r="G234" s="1">
        <v>5</v>
      </c>
      <c r="H234" s="1">
        <v>9000</v>
      </c>
      <c r="I234" s="1">
        <v>20</v>
      </c>
      <c r="J234" s="1">
        <v>36000</v>
      </c>
      <c r="K234" s="1">
        <v>4871.0200000000004</v>
      </c>
      <c r="L234" s="1" t="str">
        <f>IF(K234&gt;=15000,"High Profit","Low Profit")</f>
        <v>Low Profit</v>
      </c>
      <c r="M234" s="1">
        <f>YEAR(B234)</f>
        <v>2026</v>
      </c>
      <c r="N234" s="1" t="str">
        <f>TEXT(B234,"mmmm")</f>
        <v>January</v>
      </c>
      <c r="O234" s="1" t="str">
        <f>IF(J234&gt;=100000,"Excellent", IF(J234&gt;=50000,"Good","Average"))</f>
        <v>Average</v>
      </c>
      <c r="P234" s="1">
        <f>(H234*G234)*(I234/100)</f>
        <v>9000</v>
      </c>
      <c r="Q234" s="1">
        <f ca="1">J234-Q234</f>
        <v>0</v>
      </c>
    </row>
    <row r="235" spans="1:17" x14ac:dyDescent="0.25">
      <c r="A235" s="1">
        <v>1215</v>
      </c>
      <c r="B235" s="1" t="s">
        <v>209</v>
      </c>
      <c r="C235" s="1" t="s">
        <v>21</v>
      </c>
      <c r="D235" s="1" t="s">
        <v>27</v>
      </c>
      <c r="E235" s="1" t="s">
        <v>43</v>
      </c>
      <c r="F235" s="1" t="s">
        <v>24</v>
      </c>
      <c r="G235" s="1">
        <v>4</v>
      </c>
      <c r="H235" s="1">
        <v>9000</v>
      </c>
      <c r="I235" s="1">
        <v>0</v>
      </c>
      <c r="J235" s="1">
        <v>36000</v>
      </c>
      <c r="K235" s="1">
        <v>5478.31</v>
      </c>
      <c r="L235" s="1" t="str">
        <f>IF(K235&gt;=15000,"High Profit","Low Profit")</f>
        <v>Low Profit</v>
      </c>
      <c r="M235" s="1">
        <f>YEAR(B235)</f>
        <v>2025</v>
      </c>
      <c r="N235" s="1" t="str">
        <f>TEXT(B235,"mmmm")</f>
        <v>July</v>
      </c>
      <c r="O235" s="1" t="str">
        <f>IF(J235&gt;=100000,"Excellent", IF(J235&gt;=50000,"Good","Average"))</f>
        <v>Average</v>
      </c>
      <c r="P235" s="1">
        <f>(H235*G235)*(I235/100)</f>
        <v>0</v>
      </c>
      <c r="Q235" s="1">
        <f ca="1">J235-Q235</f>
        <v>0</v>
      </c>
    </row>
    <row r="236" spans="1:17" x14ac:dyDescent="0.25">
      <c r="A236" s="1">
        <v>1295</v>
      </c>
      <c r="B236" s="1" t="s">
        <v>260</v>
      </c>
      <c r="C236" s="1" t="s">
        <v>30</v>
      </c>
      <c r="D236" s="1" t="s">
        <v>27</v>
      </c>
      <c r="E236" s="1" t="s">
        <v>43</v>
      </c>
      <c r="F236" s="1" t="s">
        <v>24</v>
      </c>
      <c r="G236" s="1">
        <v>5</v>
      </c>
      <c r="H236" s="1">
        <v>9000</v>
      </c>
      <c r="I236" s="1">
        <v>20</v>
      </c>
      <c r="J236" s="1">
        <v>36000</v>
      </c>
      <c r="K236" s="1">
        <v>7522.89</v>
      </c>
      <c r="L236" s="1" t="str">
        <f>IF(K236&gt;=15000,"High Profit","Low Profit")</f>
        <v>Low Profit</v>
      </c>
      <c r="M236" s="1">
        <f>YEAR(B236)</f>
        <v>2026</v>
      </c>
      <c r="N236" s="1" t="str">
        <f>TEXT(B236,"mmmm")</f>
        <v>April</v>
      </c>
      <c r="O236" s="1" t="str">
        <f>IF(J236&gt;=100000,"Excellent", IF(J236&gt;=50000,"Good","Average"))</f>
        <v>Average</v>
      </c>
      <c r="P236" s="1">
        <f>(H236*G236)*(I236/100)</f>
        <v>9000</v>
      </c>
      <c r="Q236" s="1">
        <f ca="1">J236-Q236</f>
        <v>0</v>
      </c>
    </row>
    <row r="237" spans="1:17" x14ac:dyDescent="0.25">
      <c r="A237" s="1">
        <v>1323</v>
      </c>
      <c r="B237" s="1" t="s">
        <v>275</v>
      </c>
      <c r="C237" s="1" t="s">
        <v>36</v>
      </c>
      <c r="D237" s="1" t="s">
        <v>22</v>
      </c>
      <c r="E237" s="1" t="s">
        <v>43</v>
      </c>
      <c r="F237" s="1" t="s">
        <v>24</v>
      </c>
      <c r="G237" s="1">
        <v>5</v>
      </c>
      <c r="H237" s="1">
        <v>9000</v>
      </c>
      <c r="I237" s="1">
        <v>20</v>
      </c>
      <c r="J237" s="1">
        <v>36000</v>
      </c>
      <c r="K237" s="1">
        <v>7609.59</v>
      </c>
      <c r="L237" s="1" t="str">
        <f>IF(K237&gt;=15000,"High Profit","Low Profit")</f>
        <v>Low Profit</v>
      </c>
      <c r="M237" s="1">
        <f>YEAR(B237)</f>
        <v>2025</v>
      </c>
      <c r="N237" s="1" t="str">
        <f>TEXT(B237,"mmmm")</f>
        <v>June</v>
      </c>
      <c r="O237" s="1" t="str">
        <f>IF(J237&gt;=100000,"Excellent", IF(J237&gt;=50000,"Good","Average"))</f>
        <v>Average</v>
      </c>
      <c r="P237" s="1">
        <f>(H237*G237)*(I237/100)</f>
        <v>9000</v>
      </c>
      <c r="Q237" s="1">
        <f ca="1">J237-Q237</f>
        <v>0</v>
      </c>
    </row>
    <row r="238" spans="1:17" x14ac:dyDescent="0.25">
      <c r="A238" s="1">
        <v>1377</v>
      </c>
      <c r="B238" s="1" t="s">
        <v>86</v>
      </c>
      <c r="C238" s="1" t="s">
        <v>21</v>
      </c>
      <c r="D238" s="1" t="s">
        <v>17</v>
      </c>
      <c r="E238" s="1" t="s">
        <v>43</v>
      </c>
      <c r="F238" s="1" t="s">
        <v>24</v>
      </c>
      <c r="G238" s="1">
        <v>5</v>
      </c>
      <c r="H238" s="1">
        <v>9000</v>
      </c>
      <c r="I238" s="1">
        <v>20</v>
      </c>
      <c r="J238" s="1">
        <v>36000</v>
      </c>
      <c r="K238" s="1">
        <v>8178.41</v>
      </c>
      <c r="L238" s="1" t="str">
        <f>IF(K238&gt;=15000,"High Profit","Low Profit")</f>
        <v>Low Profit</v>
      </c>
      <c r="M238" s="1">
        <f>YEAR(B238)</f>
        <v>2025</v>
      </c>
      <c r="N238" s="1" t="str">
        <f>TEXT(B238,"mmmm")</f>
        <v>December</v>
      </c>
      <c r="O238" s="1" t="str">
        <f>IF(J238&gt;=100000,"Excellent", IF(J238&gt;=50000,"Good","Average"))</f>
        <v>Average</v>
      </c>
      <c r="P238" s="1">
        <f>(H238*G238)*(I238/100)</f>
        <v>9000</v>
      </c>
      <c r="Q238" s="1">
        <f ca="1">J238-Q238</f>
        <v>0</v>
      </c>
    </row>
    <row r="239" spans="1:17" x14ac:dyDescent="0.25">
      <c r="A239" s="1">
        <v>1417</v>
      </c>
      <c r="B239" s="1" t="s">
        <v>316</v>
      </c>
      <c r="C239" s="1" t="s">
        <v>41</v>
      </c>
      <c r="D239" s="1" t="s">
        <v>13</v>
      </c>
      <c r="E239" s="1" t="s">
        <v>43</v>
      </c>
      <c r="F239" s="1" t="s">
        <v>24</v>
      </c>
      <c r="G239" s="1">
        <v>5</v>
      </c>
      <c r="H239" s="1">
        <v>9000</v>
      </c>
      <c r="I239" s="1">
        <v>20</v>
      </c>
      <c r="J239" s="1">
        <v>36000</v>
      </c>
      <c r="K239" s="1">
        <v>4411.3500000000004</v>
      </c>
      <c r="L239" s="1" t="str">
        <f>IF(K239&gt;=15000,"High Profit","Low Profit")</f>
        <v>Low Profit</v>
      </c>
      <c r="M239" s="1">
        <f>YEAR(B239)</f>
        <v>2026</v>
      </c>
      <c r="N239" s="1" t="str">
        <f>TEXT(B239,"mmmm")</f>
        <v>April</v>
      </c>
      <c r="O239" s="1" t="str">
        <f>IF(J239&gt;=100000,"Excellent", IF(J239&gt;=50000,"Good","Average"))</f>
        <v>Average</v>
      </c>
      <c r="P239" s="1">
        <f>(H239*G239)*(I239/100)</f>
        <v>9000</v>
      </c>
      <c r="Q239" s="1">
        <f ca="1">J239-Q239</f>
        <v>0</v>
      </c>
    </row>
    <row r="240" spans="1:17" x14ac:dyDescent="0.25">
      <c r="A240" s="1">
        <v>1336</v>
      </c>
      <c r="B240" s="1" t="s">
        <v>25</v>
      </c>
      <c r="C240" s="1" t="s">
        <v>47</v>
      </c>
      <c r="D240" s="1" t="s">
        <v>13</v>
      </c>
      <c r="E240" s="1" t="s">
        <v>18</v>
      </c>
      <c r="F240" s="1" t="s">
        <v>19</v>
      </c>
      <c r="G240" s="1">
        <v>6</v>
      </c>
      <c r="H240" s="1">
        <v>7000</v>
      </c>
      <c r="I240" s="1">
        <v>15</v>
      </c>
      <c r="J240" s="1">
        <v>35700</v>
      </c>
      <c r="K240" s="1">
        <v>7362.28</v>
      </c>
      <c r="L240" s="1" t="str">
        <f>IF(K240&gt;=15000,"High Profit","Low Profit")</f>
        <v>Low Profit</v>
      </c>
      <c r="M240" s="1">
        <f>YEAR(B240)</f>
        <v>2026</v>
      </c>
      <c r="N240" s="1" t="str">
        <f>TEXT(B240,"mmmm")</f>
        <v>June</v>
      </c>
      <c r="O240" s="1" t="str">
        <f>IF(J240&gt;=100000,"Excellent", IF(J240&gt;=50000,"Good","Average"))</f>
        <v>Average</v>
      </c>
      <c r="P240" s="1">
        <f>(H240*G240)*(I240/100)</f>
        <v>6300</v>
      </c>
      <c r="Q240" s="1">
        <f ca="1">J240-Q240</f>
        <v>0</v>
      </c>
    </row>
    <row r="241" spans="1:17" x14ac:dyDescent="0.25">
      <c r="A241" s="1">
        <v>1037</v>
      </c>
      <c r="B241" s="1" t="s">
        <v>65</v>
      </c>
      <c r="C241" s="1" t="s">
        <v>30</v>
      </c>
      <c r="D241" s="1" t="s">
        <v>27</v>
      </c>
      <c r="E241" s="1" t="s">
        <v>43</v>
      </c>
      <c r="F241" s="1" t="s">
        <v>24</v>
      </c>
      <c r="G241" s="1">
        <v>4</v>
      </c>
      <c r="H241" s="1">
        <v>9000</v>
      </c>
      <c r="I241" s="1">
        <v>5</v>
      </c>
      <c r="J241" s="1">
        <v>34200</v>
      </c>
      <c r="K241" s="1">
        <v>7060.86</v>
      </c>
      <c r="L241" s="1" t="str">
        <f>IF(K241&gt;=15000,"High Profit","Low Profit")</f>
        <v>Low Profit</v>
      </c>
      <c r="M241" s="1">
        <f>YEAR(B241)</f>
        <v>2026</v>
      </c>
      <c r="N241" s="1" t="str">
        <f>TEXT(B241,"mmmm")</f>
        <v>April</v>
      </c>
      <c r="O241" s="1" t="str">
        <f>IF(J241&gt;=100000,"Excellent", IF(J241&gt;=50000,"Good","Average"))</f>
        <v>Average</v>
      </c>
      <c r="P241" s="1">
        <f>(H241*G241)*(I241/100)</f>
        <v>1800</v>
      </c>
      <c r="Q241" s="1">
        <f ca="1">J241-Q241</f>
        <v>0</v>
      </c>
    </row>
    <row r="242" spans="1:17" x14ac:dyDescent="0.25">
      <c r="A242" s="1">
        <v>1070</v>
      </c>
      <c r="B242" s="1" t="s">
        <v>95</v>
      </c>
      <c r="C242" s="1" t="s">
        <v>36</v>
      </c>
      <c r="D242" s="1" t="s">
        <v>27</v>
      </c>
      <c r="E242" s="1" t="s">
        <v>23</v>
      </c>
      <c r="F242" s="1" t="s">
        <v>24</v>
      </c>
      <c r="G242" s="1">
        <v>3</v>
      </c>
      <c r="H242" s="1">
        <v>12000</v>
      </c>
      <c r="I242" s="1">
        <v>5</v>
      </c>
      <c r="J242" s="1">
        <v>34200</v>
      </c>
      <c r="K242" s="1">
        <v>5900.6</v>
      </c>
      <c r="L242" s="1" t="str">
        <f>IF(K242&gt;=15000,"High Profit","Low Profit")</f>
        <v>Low Profit</v>
      </c>
      <c r="M242" s="1">
        <f>YEAR(B242)</f>
        <v>2025</v>
      </c>
      <c r="N242" s="1" t="str">
        <f>TEXT(B242,"mmmm")</f>
        <v>November</v>
      </c>
      <c r="O242" s="1" t="str">
        <f>IF(J242&gt;=100000,"Excellent", IF(J242&gt;=50000,"Good","Average"))</f>
        <v>Average</v>
      </c>
      <c r="P242" s="1">
        <f>(H242*G242)*(I242/100)</f>
        <v>1800</v>
      </c>
      <c r="Q242" s="1">
        <f ca="1">J242-Q242</f>
        <v>0</v>
      </c>
    </row>
    <row r="243" spans="1:17" x14ac:dyDescent="0.25">
      <c r="A243" s="1">
        <v>1131</v>
      </c>
      <c r="B243" s="1" t="s">
        <v>150</v>
      </c>
      <c r="C243" s="1" t="s">
        <v>21</v>
      </c>
      <c r="D243" s="1" t="s">
        <v>13</v>
      </c>
      <c r="E243" s="1" t="s">
        <v>23</v>
      </c>
      <c r="F243" s="1" t="s">
        <v>24</v>
      </c>
      <c r="G243" s="1">
        <v>3</v>
      </c>
      <c r="H243" s="1">
        <v>12000</v>
      </c>
      <c r="I243" s="1">
        <v>5</v>
      </c>
      <c r="J243" s="1">
        <v>34200</v>
      </c>
      <c r="K243" s="1">
        <v>5006.75</v>
      </c>
      <c r="L243" s="1" t="str">
        <f>IF(K243&gt;=15000,"High Profit","Low Profit")</f>
        <v>Low Profit</v>
      </c>
      <c r="M243" s="1">
        <f>YEAR(B243)</f>
        <v>2025</v>
      </c>
      <c r="N243" s="1" t="str">
        <f>TEXT(B243,"mmmm")</f>
        <v>September</v>
      </c>
      <c r="O243" s="1" t="str">
        <f>IF(J243&gt;=100000,"Excellent", IF(J243&gt;=50000,"Good","Average"))</f>
        <v>Average</v>
      </c>
      <c r="P243" s="1">
        <f>(H243*G243)*(I243/100)</f>
        <v>1800</v>
      </c>
      <c r="Q243" s="1">
        <f ca="1">J243-Q243</f>
        <v>0</v>
      </c>
    </row>
    <row r="244" spans="1:17" x14ac:dyDescent="0.25">
      <c r="A244" s="1">
        <v>1291</v>
      </c>
      <c r="B244" s="1" t="s">
        <v>165</v>
      </c>
      <c r="C244" s="1" t="s">
        <v>45</v>
      </c>
      <c r="D244" s="1" t="s">
        <v>13</v>
      </c>
      <c r="E244" s="1" t="s">
        <v>23</v>
      </c>
      <c r="F244" s="1" t="s">
        <v>24</v>
      </c>
      <c r="G244" s="1">
        <v>3</v>
      </c>
      <c r="H244" s="1">
        <v>12000</v>
      </c>
      <c r="I244" s="1">
        <v>5</v>
      </c>
      <c r="J244" s="1">
        <v>34200</v>
      </c>
      <c r="K244" s="1">
        <v>3122.02</v>
      </c>
      <c r="L244" s="1" t="str">
        <f>IF(K244&gt;=15000,"High Profit","Low Profit")</f>
        <v>Low Profit</v>
      </c>
      <c r="M244" s="1">
        <f>YEAR(B244)</f>
        <v>2026</v>
      </c>
      <c r="N244" s="1" t="str">
        <f>TEXT(B244,"mmmm")</f>
        <v>April</v>
      </c>
      <c r="O244" s="1" t="str">
        <f>IF(J244&gt;=100000,"Excellent", IF(J244&gt;=50000,"Good","Average"))</f>
        <v>Average</v>
      </c>
      <c r="P244" s="1">
        <f>(H244*G244)*(I244/100)</f>
        <v>1800</v>
      </c>
      <c r="Q244" s="1">
        <f ca="1">J244-Q244</f>
        <v>0</v>
      </c>
    </row>
    <row r="245" spans="1:17" x14ac:dyDescent="0.25">
      <c r="A245" s="1">
        <v>1232</v>
      </c>
      <c r="B245" s="1" t="s">
        <v>220</v>
      </c>
      <c r="C245" s="1" t="s">
        <v>32</v>
      </c>
      <c r="D245" s="1" t="s">
        <v>17</v>
      </c>
      <c r="E245" s="1" t="s">
        <v>18</v>
      </c>
      <c r="F245" s="1" t="s">
        <v>19</v>
      </c>
      <c r="G245" s="1">
        <v>6</v>
      </c>
      <c r="H245" s="1">
        <v>7000</v>
      </c>
      <c r="I245" s="1">
        <v>20</v>
      </c>
      <c r="J245" s="1">
        <v>33600</v>
      </c>
      <c r="K245" s="1">
        <v>6822.37</v>
      </c>
      <c r="L245" s="1" t="str">
        <f>IF(K245&gt;=15000,"High Profit","Low Profit")</f>
        <v>Low Profit</v>
      </c>
      <c r="M245" s="1">
        <f>YEAR(B245)</f>
        <v>2026</v>
      </c>
      <c r="N245" s="1" t="str">
        <f>TEXT(B245,"mmmm")</f>
        <v>May</v>
      </c>
      <c r="O245" s="1" t="str">
        <f>IF(J245&gt;=100000,"Excellent", IF(J245&gt;=50000,"Good","Average"))</f>
        <v>Average</v>
      </c>
      <c r="P245" s="1">
        <f>(H245*G245)*(I245/100)</f>
        <v>8400</v>
      </c>
      <c r="Q245" s="1">
        <f ca="1">J245-Q245</f>
        <v>0</v>
      </c>
    </row>
    <row r="246" spans="1:17" x14ac:dyDescent="0.25">
      <c r="A246" s="1">
        <v>1050</v>
      </c>
      <c r="B246" s="1" t="s">
        <v>76</v>
      </c>
      <c r="C246" s="1" t="s">
        <v>26</v>
      </c>
      <c r="D246" s="1" t="s">
        <v>27</v>
      </c>
      <c r="E246" s="1" t="s">
        <v>18</v>
      </c>
      <c r="F246" s="1" t="s">
        <v>19</v>
      </c>
      <c r="G246" s="1">
        <v>5</v>
      </c>
      <c r="H246" s="1">
        <v>7000</v>
      </c>
      <c r="I246" s="1">
        <v>5</v>
      </c>
      <c r="J246" s="1">
        <v>33250</v>
      </c>
      <c r="K246" s="1">
        <v>4733.7</v>
      </c>
      <c r="L246" s="1" t="str">
        <f>IF(K246&gt;=15000,"High Profit","Low Profit")</f>
        <v>Low Profit</v>
      </c>
      <c r="M246" s="1">
        <f>YEAR(B246)</f>
        <v>2025</v>
      </c>
      <c r="N246" s="1" t="str">
        <f>TEXT(B246,"mmmm")</f>
        <v>May</v>
      </c>
      <c r="O246" s="1" t="str">
        <f>IF(J246&gt;=100000,"Excellent", IF(J246&gt;=50000,"Good","Average"))</f>
        <v>Average</v>
      </c>
      <c r="P246" s="1">
        <f>(H246*G246)*(I246/100)</f>
        <v>1750</v>
      </c>
      <c r="Q246" s="1">
        <f ca="1">J246-Q246</f>
        <v>0</v>
      </c>
    </row>
    <row r="247" spans="1:17" x14ac:dyDescent="0.25">
      <c r="A247" s="1">
        <v>1214</v>
      </c>
      <c r="B247" s="1" t="s">
        <v>208</v>
      </c>
      <c r="C247" s="1" t="s">
        <v>39</v>
      </c>
      <c r="D247" s="1" t="s">
        <v>22</v>
      </c>
      <c r="E247" s="1" t="s">
        <v>18</v>
      </c>
      <c r="F247" s="1" t="s">
        <v>19</v>
      </c>
      <c r="G247" s="1">
        <v>5</v>
      </c>
      <c r="H247" s="1">
        <v>7000</v>
      </c>
      <c r="I247" s="1">
        <v>5</v>
      </c>
      <c r="J247" s="1">
        <v>33250</v>
      </c>
      <c r="K247" s="1">
        <v>5519.9</v>
      </c>
      <c r="L247" s="1" t="str">
        <f>IF(K247&gt;=15000,"High Profit","Low Profit")</f>
        <v>Low Profit</v>
      </c>
      <c r="M247" s="1">
        <f>YEAR(B247)</f>
        <v>2026</v>
      </c>
      <c r="N247" s="1" t="str">
        <f>TEXT(B247,"mmmm")</f>
        <v>April</v>
      </c>
      <c r="O247" s="1" t="str">
        <f>IF(J247&gt;=100000,"Excellent", IF(J247&gt;=50000,"Good","Average"))</f>
        <v>Average</v>
      </c>
      <c r="P247" s="1">
        <f>(H247*G247)*(I247/100)</f>
        <v>1750</v>
      </c>
      <c r="Q247" s="1">
        <f ca="1">J247-Q247</f>
        <v>0</v>
      </c>
    </row>
    <row r="248" spans="1:17" x14ac:dyDescent="0.25">
      <c r="A248" s="1">
        <v>1270</v>
      </c>
      <c r="B248" s="1" t="s">
        <v>64</v>
      </c>
      <c r="C248" s="1" t="s">
        <v>30</v>
      </c>
      <c r="D248" s="1" t="s">
        <v>27</v>
      </c>
      <c r="E248" s="1" t="s">
        <v>18</v>
      </c>
      <c r="F248" s="1" t="s">
        <v>19</v>
      </c>
      <c r="G248" s="1">
        <v>5</v>
      </c>
      <c r="H248" s="1">
        <v>7000</v>
      </c>
      <c r="I248" s="1">
        <v>5</v>
      </c>
      <c r="J248" s="1">
        <v>33250</v>
      </c>
      <c r="K248" s="1">
        <v>6644.03</v>
      </c>
      <c r="L248" s="1" t="str">
        <f>IF(K248&gt;=15000,"High Profit","Low Profit")</f>
        <v>Low Profit</v>
      </c>
      <c r="M248" s="1">
        <f>YEAR(B248)</f>
        <v>2025</v>
      </c>
      <c r="N248" s="1" t="str">
        <f>TEXT(B248,"mmmm")</f>
        <v>November</v>
      </c>
      <c r="O248" s="1" t="str">
        <f>IF(J248&gt;=100000,"Excellent", IF(J248&gt;=50000,"Good","Average"))</f>
        <v>Average</v>
      </c>
      <c r="P248" s="1">
        <f>(H248*G248)*(I248/100)</f>
        <v>1750</v>
      </c>
      <c r="Q248" s="1">
        <f ca="1">J248-Q248</f>
        <v>0</v>
      </c>
    </row>
    <row r="249" spans="1:17" x14ac:dyDescent="0.25">
      <c r="A249" s="1">
        <v>1487</v>
      </c>
      <c r="B249" s="1" t="s">
        <v>268</v>
      </c>
      <c r="C249" s="1" t="s">
        <v>30</v>
      </c>
      <c r="D249" s="1" t="s">
        <v>13</v>
      </c>
      <c r="E249" s="1" t="s">
        <v>18</v>
      </c>
      <c r="F249" s="1" t="s">
        <v>19</v>
      </c>
      <c r="G249" s="1">
        <v>5</v>
      </c>
      <c r="H249" s="1">
        <v>7000</v>
      </c>
      <c r="I249" s="1">
        <v>5</v>
      </c>
      <c r="J249" s="1">
        <v>33250</v>
      </c>
      <c r="K249" s="1">
        <v>7176.2</v>
      </c>
      <c r="L249" s="1" t="str">
        <f>IF(K249&gt;=15000,"High Profit","Low Profit")</f>
        <v>Low Profit</v>
      </c>
      <c r="M249" s="1">
        <f>YEAR(B249)</f>
        <v>2026</v>
      </c>
      <c r="N249" s="1" t="str">
        <f>TEXT(B249,"mmmm")</f>
        <v>January</v>
      </c>
      <c r="O249" s="1" t="str">
        <f>IF(J249&gt;=100000,"Excellent", IF(J249&gt;=50000,"Good","Average"))</f>
        <v>Average</v>
      </c>
      <c r="P249" s="1">
        <f>(H249*G249)*(I249/100)</f>
        <v>1750</v>
      </c>
      <c r="Q249" s="1">
        <f ca="1">J249-Q249</f>
        <v>0</v>
      </c>
    </row>
    <row r="250" spans="1:17" x14ac:dyDescent="0.25">
      <c r="A250" s="1">
        <v>1253</v>
      </c>
      <c r="B250" s="1" t="s">
        <v>168</v>
      </c>
      <c r="C250" s="1" t="s">
        <v>26</v>
      </c>
      <c r="D250" s="1" t="s">
        <v>27</v>
      </c>
      <c r="E250" s="1" t="s">
        <v>43</v>
      </c>
      <c r="F250" s="1" t="s">
        <v>24</v>
      </c>
      <c r="G250" s="1">
        <v>4</v>
      </c>
      <c r="H250" s="1">
        <v>9000</v>
      </c>
      <c r="I250" s="1">
        <v>10</v>
      </c>
      <c r="J250" s="1">
        <v>32400</v>
      </c>
      <c r="K250" s="1">
        <v>7077.5</v>
      </c>
      <c r="L250" s="1" t="str">
        <f>IF(K250&gt;=15000,"High Profit","Low Profit")</f>
        <v>Low Profit</v>
      </c>
      <c r="M250" s="1">
        <f>YEAR(B250)</f>
        <v>2025</v>
      </c>
      <c r="N250" s="1" t="str">
        <f>TEXT(B250,"mmmm")</f>
        <v>April</v>
      </c>
      <c r="O250" s="1" t="str">
        <f>IF(J250&gt;=100000,"Excellent", IF(J250&gt;=50000,"Good","Average"))</f>
        <v>Average</v>
      </c>
      <c r="P250" s="1">
        <f>(H250*G250)*(I250/100)</f>
        <v>3600</v>
      </c>
      <c r="Q250" s="1">
        <f ca="1">J250-Q250</f>
        <v>0</v>
      </c>
    </row>
    <row r="251" spans="1:17" x14ac:dyDescent="0.25">
      <c r="A251" s="1">
        <v>1442</v>
      </c>
      <c r="B251" s="1" t="s">
        <v>309</v>
      </c>
      <c r="C251" s="1" t="s">
        <v>39</v>
      </c>
      <c r="D251" s="1" t="s">
        <v>13</v>
      </c>
      <c r="E251" s="1" t="s">
        <v>43</v>
      </c>
      <c r="F251" s="1" t="s">
        <v>24</v>
      </c>
      <c r="G251" s="1">
        <v>4</v>
      </c>
      <c r="H251" s="1">
        <v>9000</v>
      </c>
      <c r="I251" s="1">
        <v>10</v>
      </c>
      <c r="J251" s="1">
        <v>32400</v>
      </c>
      <c r="K251" s="1">
        <v>3712.41</v>
      </c>
      <c r="L251" s="1" t="str">
        <f>IF(K251&gt;=15000,"High Profit","Low Profit")</f>
        <v>Low Profit</v>
      </c>
      <c r="M251" s="1">
        <f>YEAR(B251)</f>
        <v>2026</v>
      </c>
      <c r="N251" s="1" t="str">
        <f>TEXT(B251,"mmmm")</f>
        <v>June</v>
      </c>
      <c r="O251" s="1" t="str">
        <f>IF(J251&gt;=100000,"Excellent", IF(J251&gt;=50000,"Good","Average"))</f>
        <v>Average</v>
      </c>
      <c r="P251" s="1">
        <f>(H251*G251)*(I251/100)</f>
        <v>3600</v>
      </c>
      <c r="Q251" s="1">
        <f ca="1">J251-Q251</f>
        <v>0</v>
      </c>
    </row>
    <row r="252" spans="1:17" x14ac:dyDescent="0.25">
      <c r="A252" s="1">
        <v>1170</v>
      </c>
      <c r="B252" s="1" t="s">
        <v>176</v>
      </c>
      <c r="C252" s="1" t="s">
        <v>47</v>
      </c>
      <c r="D252" s="1" t="s">
        <v>13</v>
      </c>
      <c r="E252" s="1" t="s">
        <v>18</v>
      </c>
      <c r="F252" s="1" t="s">
        <v>19</v>
      </c>
      <c r="G252" s="1">
        <v>5</v>
      </c>
      <c r="H252" s="1">
        <v>7000</v>
      </c>
      <c r="I252" s="1">
        <v>10</v>
      </c>
      <c r="J252" s="1">
        <v>31500</v>
      </c>
      <c r="K252" s="1">
        <v>7147.12</v>
      </c>
      <c r="L252" s="1" t="str">
        <f>IF(K252&gt;=15000,"High Profit","Low Profit")</f>
        <v>Low Profit</v>
      </c>
      <c r="M252" s="1">
        <f>YEAR(B252)</f>
        <v>2025</v>
      </c>
      <c r="N252" s="1" t="str">
        <f>TEXT(B252,"mmmm")</f>
        <v>October</v>
      </c>
      <c r="O252" s="1" t="str">
        <f>IF(J252&gt;=100000,"Excellent", IF(J252&gt;=50000,"Good","Average"))</f>
        <v>Average</v>
      </c>
      <c r="P252" s="1">
        <f>(H252*G252)*(I252/100)</f>
        <v>3500</v>
      </c>
      <c r="Q252" s="1">
        <f ca="1">J252-Q252</f>
        <v>0</v>
      </c>
    </row>
    <row r="253" spans="1:17" x14ac:dyDescent="0.25">
      <c r="A253" s="1">
        <v>1456</v>
      </c>
      <c r="B253" s="1" t="s">
        <v>331</v>
      </c>
      <c r="C253" s="1" t="s">
        <v>21</v>
      </c>
      <c r="D253" s="1" t="s">
        <v>13</v>
      </c>
      <c r="E253" s="1" t="s">
        <v>18</v>
      </c>
      <c r="F253" s="1" t="s">
        <v>19</v>
      </c>
      <c r="G253" s="1">
        <v>5</v>
      </c>
      <c r="H253" s="1">
        <v>7000</v>
      </c>
      <c r="I253" s="1">
        <v>10</v>
      </c>
      <c r="J253" s="1">
        <v>31500</v>
      </c>
      <c r="K253" s="1">
        <v>4481.22</v>
      </c>
      <c r="L253" s="1" t="str">
        <f>IF(K253&gt;=15000,"High Profit","Low Profit")</f>
        <v>Low Profit</v>
      </c>
      <c r="M253" s="1">
        <f>YEAR(B253)</f>
        <v>2025</v>
      </c>
      <c r="N253" s="1" t="str">
        <f>TEXT(B253,"mmmm")</f>
        <v>January</v>
      </c>
      <c r="O253" s="1" t="str">
        <f>IF(J253&gt;=100000,"Excellent", IF(J253&gt;=50000,"Good","Average"))</f>
        <v>Average</v>
      </c>
      <c r="P253" s="1">
        <f>(H253*G253)*(I253/100)</f>
        <v>3500</v>
      </c>
      <c r="Q253" s="1">
        <f ca="1">J253-Q253</f>
        <v>0</v>
      </c>
    </row>
    <row r="254" spans="1:17" x14ac:dyDescent="0.25">
      <c r="A254" s="1">
        <v>1018</v>
      </c>
      <c r="B254" s="1" t="s">
        <v>49</v>
      </c>
      <c r="C254" s="1" t="s">
        <v>32</v>
      </c>
      <c r="D254" s="1" t="s">
        <v>17</v>
      </c>
      <c r="E254" s="1" t="s">
        <v>23</v>
      </c>
      <c r="F254" s="1" t="s">
        <v>24</v>
      </c>
      <c r="G254" s="1">
        <v>3</v>
      </c>
      <c r="H254" s="1">
        <v>12000</v>
      </c>
      <c r="I254" s="1">
        <v>15</v>
      </c>
      <c r="J254" s="1">
        <v>30600</v>
      </c>
      <c r="K254" s="1">
        <v>3739.27</v>
      </c>
      <c r="L254" s="1" t="str">
        <f>IF(K254&gt;=15000,"High Profit","Low Profit")</f>
        <v>Low Profit</v>
      </c>
      <c r="M254" s="1">
        <f>YEAR(B254)</f>
        <v>2025</v>
      </c>
      <c r="N254" s="1" t="str">
        <f>TEXT(B254,"mmmm")</f>
        <v>August</v>
      </c>
      <c r="O254" s="1" t="str">
        <f>IF(J254&gt;=100000,"Excellent", IF(J254&gt;=50000,"Good","Average"))</f>
        <v>Average</v>
      </c>
      <c r="P254" s="1">
        <f>(H254*G254)*(I254/100)</f>
        <v>5400</v>
      </c>
      <c r="Q254" s="1">
        <f ca="1">J254-Q254</f>
        <v>0</v>
      </c>
    </row>
    <row r="255" spans="1:17" x14ac:dyDescent="0.25">
      <c r="A255" s="1">
        <v>1135</v>
      </c>
      <c r="B255" s="1" t="s">
        <v>153</v>
      </c>
      <c r="C255" s="1" t="s">
        <v>12</v>
      </c>
      <c r="D255" s="1" t="s">
        <v>17</v>
      </c>
      <c r="E255" s="1" t="s">
        <v>43</v>
      </c>
      <c r="F255" s="1" t="s">
        <v>24</v>
      </c>
      <c r="G255" s="1">
        <v>4</v>
      </c>
      <c r="H255" s="1">
        <v>9000</v>
      </c>
      <c r="I255" s="1">
        <v>15</v>
      </c>
      <c r="J255" s="1">
        <v>30600</v>
      </c>
      <c r="K255" s="1">
        <v>3047.27</v>
      </c>
      <c r="L255" s="1" t="str">
        <f>IF(K255&gt;=15000,"High Profit","Low Profit")</f>
        <v>Low Profit</v>
      </c>
      <c r="M255" s="1">
        <f>YEAR(B255)</f>
        <v>2025</v>
      </c>
      <c r="N255" s="1" t="str">
        <f>TEXT(B255,"mmmm")</f>
        <v>May</v>
      </c>
      <c r="O255" s="1" t="str">
        <f>IF(J255&gt;=100000,"Excellent", IF(J255&gt;=50000,"Good","Average"))</f>
        <v>Average</v>
      </c>
      <c r="P255" s="1">
        <f>(H255*G255)*(I255/100)</f>
        <v>5400</v>
      </c>
      <c r="Q255" s="1">
        <f ca="1">J255-Q255</f>
        <v>0</v>
      </c>
    </row>
    <row r="256" spans="1:17" x14ac:dyDescent="0.25">
      <c r="A256" s="1">
        <v>1164</v>
      </c>
      <c r="B256" s="1" t="s">
        <v>109</v>
      </c>
      <c r="C256" s="1" t="s">
        <v>39</v>
      </c>
      <c r="D256" s="1" t="s">
        <v>27</v>
      </c>
      <c r="E256" s="1" t="s">
        <v>23</v>
      </c>
      <c r="F256" s="1" t="s">
        <v>24</v>
      </c>
      <c r="G256" s="1">
        <v>3</v>
      </c>
      <c r="H256" s="1">
        <v>12000</v>
      </c>
      <c r="I256" s="1">
        <v>15</v>
      </c>
      <c r="J256" s="1">
        <v>30600</v>
      </c>
      <c r="K256" s="1">
        <v>3706.45</v>
      </c>
      <c r="L256" s="1" t="str">
        <f>IF(K256&gt;=15000,"High Profit","Low Profit")</f>
        <v>Low Profit</v>
      </c>
      <c r="M256" s="1">
        <f>YEAR(B256)</f>
        <v>2026</v>
      </c>
      <c r="N256" s="1" t="str">
        <f>TEXT(B256,"mmmm")</f>
        <v>April</v>
      </c>
      <c r="O256" s="1" t="str">
        <f>IF(J256&gt;=100000,"Excellent", IF(J256&gt;=50000,"Good","Average"))</f>
        <v>Average</v>
      </c>
      <c r="P256" s="1">
        <f>(H256*G256)*(I256/100)</f>
        <v>5400</v>
      </c>
      <c r="Q256" s="1">
        <f ca="1">J256-Q256</f>
        <v>0</v>
      </c>
    </row>
    <row r="257" spans="1:17" x14ac:dyDescent="0.25">
      <c r="A257" s="1">
        <v>1260</v>
      </c>
      <c r="B257" s="1" t="s">
        <v>159</v>
      </c>
      <c r="C257" s="1" t="s">
        <v>30</v>
      </c>
      <c r="D257" s="1" t="s">
        <v>27</v>
      </c>
      <c r="E257" s="1" t="s">
        <v>23</v>
      </c>
      <c r="F257" s="1" t="s">
        <v>24</v>
      </c>
      <c r="G257" s="1">
        <v>3</v>
      </c>
      <c r="H257" s="1">
        <v>12000</v>
      </c>
      <c r="I257" s="1">
        <v>15</v>
      </c>
      <c r="J257" s="1">
        <v>30600</v>
      </c>
      <c r="K257" s="1">
        <v>6480.04</v>
      </c>
      <c r="L257" s="1" t="str">
        <f>IF(K257&gt;=15000,"High Profit","Low Profit")</f>
        <v>Low Profit</v>
      </c>
      <c r="M257" s="1">
        <f>YEAR(B257)</f>
        <v>2025</v>
      </c>
      <c r="N257" s="1" t="str">
        <f>TEXT(B257,"mmmm")</f>
        <v>March</v>
      </c>
      <c r="O257" s="1" t="str">
        <f>IF(J257&gt;=100000,"Excellent", IF(J257&gt;=50000,"Good","Average"))</f>
        <v>Average</v>
      </c>
      <c r="P257" s="1">
        <f>(H257*G257)*(I257/100)</f>
        <v>5400</v>
      </c>
      <c r="Q257" s="1">
        <f ca="1">J257-Q257</f>
        <v>0</v>
      </c>
    </row>
    <row r="258" spans="1:17" x14ac:dyDescent="0.25">
      <c r="A258" s="1">
        <v>1328</v>
      </c>
      <c r="B258" s="1" t="s">
        <v>214</v>
      </c>
      <c r="C258" s="1" t="s">
        <v>45</v>
      </c>
      <c r="D258" s="1" t="s">
        <v>13</v>
      </c>
      <c r="E258" s="1" t="s">
        <v>23</v>
      </c>
      <c r="F258" s="1" t="s">
        <v>24</v>
      </c>
      <c r="G258" s="1">
        <v>3</v>
      </c>
      <c r="H258" s="1">
        <v>12000</v>
      </c>
      <c r="I258" s="1">
        <v>15</v>
      </c>
      <c r="J258" s="1">
        <v>30600</v>
      </c>
      <c r="K258" s="1">
        <v>5196.13</v>
      </c>
      <c r="L258" s="1" t="str">
        <f>IF(K258&gt;=15000,"High Profit","Low Profit")</f>
        <v>Low Profit</v>
      </c>
      <c r="M258" s="1">
        <f>YEAR(B258)</f>
        <v>2025</v>
      </c>
      <c r="N258" s="1" t="str">
        <f>TEXT(B258,"mmmm")</f>
        <v>May</v>
      </c>
      <c r="O258" s="1" t="str">
        <f>IF(J258&gt;=100000,"Excellent", IF(J258&gt;=50000,"Good","Average"))</f>
        <v>Average</v>
      </c>
      <c r="P258" s="1">
        <f>(H258*G258)*(I258/100)</f>
        <v>5400</v>
      </c>
      <c r="Q258" s="1">
        <f ca="1">J258-Q258</f>
        <v>0</v>
      </c>
    </row>
    <row r="259" spans="1:17" x14ac:dyDescent="0.25">
      <c r="A259" s="1">
        <v>1481</v>
      </c>
      <c r="B259" s="1" t="s">
        <v>339</v>
      </c>
      <c r="C259" s="1" t="s">
        <v>47</v>
      </c>
      <c r="D259" s="1" t="s">
        <v>13</v>
      </c>
      <c r="E259" s="1" t="s">
        <v>23</v>
      </c>
      <c r="F259" s="1" t="s">
        <v>24</v>
      </c>
      <c r="G259" s="1">
        <v>3</v>
      </c>
      <c r="H259" s="1">
        <v>12000</v>
      </c>
      <c r="I259" s="1">
        <v>15</v>
      </c>
      <c r="J259" s="1">
        <v>30600</v>
      </c>
      <c r="K259" s="1">
        <v>6874.63</v>
      </c>
      <c r="L259" s="1" t="str">
        <f>IF(K259&gt;=15000,"High Profit","Low Profit")</f>
        <v>Low Profit</v>
      </c>
      <c r="M259" s="1">
        <f>YEAR(B259)</f>
        <v>2026</v>
      </c>
      <c r="N259" s="1" t="str">
        <f>TEXT(B259,"mmmm")</f>
        <v>March</v>
      </c>
      <c r="O259" s="1" t="str">
        <f>IF(J259&gt;=100000,"Excellent", IF(J259&gt;=50000,"Good","Average"))</f>
        <v>Average</v>
      </c>
      <c r="P259" s="1">
        <f>(H259*G259)*(I259/100)</f>
        <v>5400</v>
      </c>
      <c r="Q259" s="1">
        <f ca="1">J259-Q259</f>
        <v>0</v>
      </c>
    </row>
    <row r="260" spans="1:17" x14ac:dyDescent="0.25">
      <c r="A260" s="1">
        <v>1012</v>
      </c>
      <c r="B260" s="1" t="s">
        <v>40</v>
      </c>
      <c r="C260" s="1" t="s">
        <v>41</v>
      </c>
      <c r="D260" s="1" t="s">
        <v>22</v>
      </c>
      <c r="E260" s="1" t="s">
        <v>18</v>
      </c>
      <c r="F260" s="1" t="s">
        <v>19</v>
      </c>
      <c r="G260" s="1">
        <v>5</v>
      </c>
      <c r="H260" s="1">
        <v>7000</v>
      </c>
      <c r="I260" s="1">
        <v>15</v>
      </c>
      <c r="J260" s="1">
        <v>29750</v>
      </c>
      <c r="K260" s="1">
        <v>4767.5200000000004</v>
      </c>
      <c r="L260" s="1" t="str">
        <f>IF(K260&gt;=15000,"High Profit","Low Profit")</f>
        <v>Low Profit</v>
      </c>
      <c r="M260" s="1">
        <f>YEAR(B260)</f>
        <v>2025</v>
      </c>
      <c r="N260" s="1" t="str">
        <f>TEXT(B260,"mmmm")</f>
        <v>November</v>
      </c>
      <c r="O260" s="1" t="str">
        <f>IF(J260&gt;=100000,"Excellent", IF(J260&gt;=50000,"Good","Average"))</f>
        <v>Average</v>
      </c>
      <c r="P260" s="1">
        <f>(H260*G260)*(I260/100)</f>
        <v>5250</v>
      </c>
      <c r="Q260" s="1">
        <f ca="1">J260-Q260</f>
        <v>0</v>
      </c>
    </row>
    <row r="261" spans="1:17" x14ac:dyDescent="0.25">
      <c r="A261" s="1">
        <v>1231</v>
      </c>
      <c r="B261" s="1" t="s">
        <v>190</v>
      </c>
      <c r="C261" s="1" t="s">
        <v>36</v>
      </c>
      <c r="D261" s="1" t="s">
        <v>13</v>
      </c>
      <c r="E261" s="1" t="s">
        <v>18</v>
      </c>
      <c r="F261" s="1" t="s">
        <v>19</v>
      </c>
      <c r="G261" s="1">
        <v>4</v>
      </c>
      <c r="H261" s="1">
        <v>7000</v>
      </c>
      <c r="I261" s="1">
        <v>0</v>
      </c>
      <c r="J261" s="1">
        <v>28000</v>
      </c>
      <c r="K261" s="1">
        <v>3707.57</v>
      </c>
      <c r="L261" s="1" t="str">
        <f>IF(K261&gt;=15000,"High Profit","Low Profit")</f>
        <v>Low Profit</v>
      </c>
      <c r="M261" s="1">
        <f>YEAR(B261)</f>
        <v>2026</v>
      </c>
      <c r="N261" s="1" t="str">
        <f>TEXT(B261,"mmmm")</f>
        <v>May</v>
      </c>
      <c r="O261" s="1" t="str">
        <f>IF(J261&gt;=100000,"Excellent", IF(J261&gt;=50000,"Good","Average"))</f>
        <v>Average</v>
      </c>
      <c r="P261" s="1">
        <f>(H261*G261)*(I261/100)</f>
        <v>0</v>
      </c>
      <c r="Q261" s="1">
        <f ca="1">J261-Q261</f>
        <v>0</v>
      </c>
    </row>
    <row r="262" spans="1:17" x14ac:dyDescent="0.25">
      <c r="A262" s="1">
        <v>1498</v>
      </c>
      <c r="B262" s="1" t="s">
        <v>58</v>
      </c>
      <c r="C262" s="1" t="s">
        <v>39</v>
      </c>
      <c r="D262" s="1" t="s">
        <v>17</v>
      </c>
      <c r="E262" s="1" t="s">
        <v>18</v>
      </c>
      <c r="F262" s="1" t="s">
        <v>19</v>
      </c>
      <c r="G262" s="1">
        <v>5</v>
      </c>
      <c r="H262" s="1">
        <v>7000</v>
      </c>
      <c r="I262" s="1">
        <v>20</v>
      </c>
      <c r="J262" s="1">
        <v>28000</v>
      </c>
      <c r="K262" s="1">
        <v>6204.6</v>
      </c>
      <c r="L262" s="1" t="str">
        <f>IF(K262&gt;=15000,"High Profit","Low Profit")</f>
        <v>Low Profit</v>
      </c>
      <c r="M262" s="1">
        <f>YEAR(B262)</f>
        <v>2025</v>
      </c>
      <c r="N262" s="1" t="str">
        <f>TEXT(B262,"mmmm")</f>
        <v>August</v>
      </c>
      <c r="O262" s="1" t="str">
        <f>IF(J262&gt;=100000,"Excellent", IF(J262&gt;=50000,"Good","Average"))</f>
        <v>Average</v>
      </c>
      <c r="P262" s="1">
        <f>(H262*G262)*(I262/100)</f>
        <v>7000</v>
      </c>
      <c r="Q262" s="1">
        <f ca="1">J262-Q262</f>
        <v>0</v>
      </c>
    </row>
    <row r="263" spans="1:17" x14ac:dyDescent="0.25">
      <c r="A263" s="1">
        <v>1155</v>
      </c>
      <c r="B263" s="1" t="s">
        <v>89</v>
      </c>
      <c r="C263" s="1" t="s">
        <v>39</v>
      </c>
      <c r="D263" s="1" t="s">
        <v>17</v>
      </c>
      <c r="E263" s="1" t="s">
        <v>43</v>
      </c>
      <c r="F263" s="1" t="s">
        <v>24</v>
      </c>
      <c r="G263" s="1">
        <v>3</v>
      </c>
      <c r="H263" s="1">
        <v>9000</v>
      </c>
      <c r="I263" s="1">
        <v>0</v>
      </c>
      <c r="J263" s="1">
        <v>27000</v>
      </c>
      <c r="K263" s="1">
        <v>4119.68</v>
      </c>
      <c r="L263" s="1" t="str">
        <f>IF(K263&gt;=15000,"High Profit","Low Profit")</f>
        <v>Low Profit</v>
      </c>
      <c r="M263" s="1">
        <f>YEAR(B263)</f>
        <v>2026</v>
      </c>
      <c r="N263" s="1" t="str">
        <f>TEXT(B263,"mmmm")</f>
        <v>June</v>
      </c>
      <c r="O263" s="1" t="str">
        <f>IF(J263&gt;=100000,"Excellent", IF(J263&gt;=50000,"Good","Average"))</f>
        <v>Average</v>
      </c>
      <c r="P263" s="1">
        <f>(H263*G263)*(I263/100)</f>
        <v>0</v>
      </c>
      <c r="Q263" s="1">
        <f ca="1">J263-Q263</f>
        <v>0</v>
      </c>
    </row>
    <row r="264" spans="1:17" x14ac:dyDescent="0.25">
      <c r="A264" s="1">
        <v>1026</v>
      </c>
      <c r="B264" s="1" t="s">
        <v>57</v>
      </c>
      <c r="C264" s="1" t="s">
        <v>47</v>
      </c>
      <c r="D264" s="1" t="s">
        <v>27</v>
      </c>
      <c r="E264" s="1" t="s">
        <v>18</v>
      </c>
      <c r="F264" s="1" t="s">
        <v>19</v>
      </c>
      <c r="G264" s="1">
        <v>4</v>
      </c>
      <c r="H264" s="1">
        <v>7000</v>
      </c>
      <c r="I264" s="1">
        <v>5</v>
      </c>
      <c r="J264" s="1">
        <v>26600</v>
      </c>
      <c r="K264" s="1">
        <v>5096.09</v>
      </c>
      <c r="L264" s="1" t="str">
        <f>IF(K264&gt;=15000,"High Profit","Low Profit")</f>
        <v>Low Profit</v>
      </c>
      <c r="M264" s="1">
        <f>YEAR(B264)</f>
        <v>2025</v>
      </c>
      <c r="N264" s="1" t="str">
        <f>TEXT(B264,"mmmm")</f>
        <v>March</v>
      </c>
      <c r="O264" s="1" t="str">
        <f>IF(J264&gt;=100000,"Excellent", IF(J264&gt;=50000,"Good","Average"))</f>
        <v>Average</v>
      </c>
      <c r="P264" s="1">
        <f>(H264*G264)*(I264/100)</f>
        <v>1400</v>
      </c>
      <c r="Q264" s="1">
        <f ca="1">J264-Q264</f>
        <v>0</v>
      </c>
    </row>
    <row r="265" spans="1:17" x14ac:dyDescent="0.25">
      <c r="A265" s="1">
        <v>1416</v>
      </c>
      <c r="B265" s="1" t="s">
        <v>315</v>
      </c>
      <c r="C265" s="1" t="s">
        <v>26</v>
      </c>
      <c r="D265" s="1" t="s">
        <v>17</v>
      </c>
      <c r="E265" s="1" t="s">
        <v>18</v>
      </c>
      <c r="F265" s="1" t="s">
        <v>19</v>
      </c>
      <c r="G265" s="1">
        <v>4</v>
      </c>
      <c r="H265" s="1">
        <v>7000</v>
      </c>
      <c r="I265" s="1">
        <v>5</v>
      </c>
      <c r="J265" s="1">
        <v>26600</v>
      </c>
      <c r="K265" s="1">
        <v>4139.24</v>
      </c>
      <c r="L265" s="1" t="str">
        <f>IF(K265&gt;=15000,"High Profit","Low Profit")</f>
        <v>Low Profit</v>
      </c>
      <c r="M265" s="1">
        <f>YEAR(B265)</f>
        <v>2025</v>
      </c>
      <c r="N265" s="1" t="str">
        <f>TEXT(B265,"mmmm")</f>
        <v>April</v>
      </c>
      <c r="O265" s="1" t="str">
        <f>IF(J265&gt;=100000,"Excellent", IF(J265&gt;=50000,"Good","Average"))</f>
        <v>Average</v>
      </c>
      <c r="P265" s="1">
        <f>(H265*G265)*(I265/100)</f>
        <v>1400</v>
      </c>
      <c r="Q265" s="1">
        <f ca="1">J265-Q265</f>
        <v>0</v>
      </c>
    </row>
    <row r="266" spans="1:17" x14ac:dyDescent="0.25">
      <c r="A266" s="1">
        <v>1239</v>
      </c>
      <c r="B266" s="1" t="s">
        <v>225</v>
      </c>
      <c r="C266" s="1" t="s">
        <v>30</v>
      </c>
      <c r="D266" s="1" t="s">
        <v>13</v>
      </c>
      <c r="E266" s="1" t="s">
        <v>43</v>
      </c>
      <c r="F266" s="1" t="s">
        <v>24</v>
      </c>
      <c r="G266" s="1">
        <v>3</v>
      </c>
      <c r="H266" s="1">
        <v>9000</v>
      </c>
      <c r="I266" s="1">
        <v>5</v>
      </c>
      <c r="J266" s="1">
        <v>25650</v>
      </c>
      <c r="K266" s="1">
        <v>3647.76</v>
      </c>
      <c r="L266" s="1" t="str">
        <f>IF(K266&gt;=15000,"High Profit","Low Profit")</f>
        <v>Low Profit</v>
      </c>
      <c r="M266" s="1">
        <f>YEAR(B266)</f>
        <v>2025</v>
      </c>
      <c r="N266" s="1" t="str">
        <f>TEXT(B266,"mmmm")</f>
        <v>February</v>
      </c>
      <c r="O266" s="1" t="str">
        <f>IF(J266&gt;=100000,"Excellent", IF(J266&gt;=50000,"Good","Average"))</f>
        <v>Average</v>
      </c>
      <c r="P266" s="1">
        <f>(H266*G266)*(I266/100)</f>
        <v>1350</v>
      </c>
      <c r="Q266" s="1">
        <f ca="1">J266-Q266</f>
        <v>0</v>
      </c>
    </row>
    <row r="267" spans="1:17" x14ac:dyDescent="0.25">
      <c r="A267" s="1">
        <v>1471</v>
      </c>
      <c r="B267" s="1" t="s">
        <v>336</v>
      </c>
      <c r="C267" s="1" t="s">
        <v>26</v>
      </c>
      <c r="D267" s="1" t="s">
        <v>13</v>
      </c>
      <c r="E267" s="1" t="s">
        <v>43</v>
      </c>
      <c r="F267" s="1" t="s">
        <v>24</v>
      </c>
      <c r="G267" s="1">
        <v>3</v>
      </c>
      <c r="H267" s="1">
        <v>9000</v>
      </c>
      <c r="I267" s="1">
        <v>5</v>
      </c>
      <c r="J267" s="1">
        <v>25650</v>
      </c>
      <c r="K267" s="1">
        <v>5033.4799999999996</v>
      </c>
      <c r="L267" s="1" t="str">
        <f>IF(K267&gt;=15000,"High Profit","Low Profit")</f>
        <v>Low Profit</v>
      </c>
      <c r="M267" s="1">
        <f>YEAR(B267)</f>
        <v>2025</v>
      </c>
      <c r="N267" s="1" t="str">
        <f>TEXT(B267,"mmmm")</f>
        <v>October</v>
      </c>
      <c r="O267" s="1" t="str">
        <f>IF(J267&gt;=100000,"Excellent", IF(J267&gt;=50000,"Good","Average"))</f>
        <v>Average</v>
      </c>
      <c r="P267" s="1">
        <f>(H267*G267)*(I267/100)</f>
        <v>1350</v>
      </c>
      <c r="Q267" s="1">
        <f ca="1">J267-Q267</f>
        <v>0</v>
      </c>
    </row>
    <row r="268" spans="1:17" x14ac:dyDescent="0.25">
      <c r="A268" s="1">
        <v>1089</v>
      </c>
      <c r="B268" s="1" t="s">
        <v>113</v>
      </c>
      <c r="C268" s="1" t="s">
        <v>21</v>
      </c>
      <c r="D268" s="1" t="s">
        <v>13</v>
      </c>
      <c r="E268" s="1" t="s">
        <v>43</v>
      </c>
      <c r="F268" s="1" t="s">
        <v>24</v>
      </c>
      <c r="G268" s="1">
        <v>3</v>
      </c>
      <c r="H268" s="1">
        <v>9000</v>
      </c>
      <c r="I268" s="1">
        <v>10</v>
      </c>
      <c r="J268" s="1">
        <v>24300</v>
      </c>
      <c r="K268" s="1">
        <v>5975.83</v>
      </c>
      <c r="L268" s="1" t="str">
        <f>IF(K268&gt;=15000,"High Profit","Low Profit")</f>
        <v>Low Profit</v>
      </c>
      <c r="M268" s="1">
        <f>YEAR(B268)</f>
        <v>2025</v>
      </c>
      <c r="N268" s="1" t="str">
        <f>TEXT(B268,"mmmm")</f>
        <v>July</v>
      </c>
      <c r="O268" s="1" t="str">
        <f>IF(J268&gt;=100000,"Excellent", IF(J268&gt;=50000,"Good","Average"))</f>
        <v>Average</v>
      </c>
      <c r="P268" s="1">
        <f>(H268*G268)*(I268/100)</f>
        <v>2700</v>
      </c>
      <c r="Q268" s="1">
        <f ca="1">J268-Q268</f>
        <v>0</v>
      </c>
    </row>
    <row r="269" spans="1:17" x14ac:dyDescent="0.25">
      <c r="A269" s="1">
        <v>1190</v>
      </c>
      <c r="B269" s="1" t="s">
        <v>191</v>
      </c>
      <c r="C269" s="1" t="s">
        <v>47</v>
      </c>
      <c r="D269" s="1" t="s">
        <v>17</v>
      </c>
      <c r="E269" s="1" t="s">
        <v>43</v>
      </c>
      <c r="F269" s="1" t="s">
        <v>24</v>
      </c>
      <c r="G269" s="1">
        <v>3</v>
      </c>
      <c r="H269" s="1">
        <v>9000</v>
      </c>
      <c r="I269" s="1">
        <v>10</v>
      </c>
      <c r="J269" s="1">
        <v>24300</v>
      </c>
      <c r="K269" s="1">
        <v>5353.83</v>
      </c>
      <c r="L269" s="1" t="str">
        <f>IF(K269&gt;=15000,"High Profit","Low Profit")</f>
        <v>Low Profit</v>
      </c>
      <c r="M269" s="1">
        <f>YEAR(B269)</f>
        <v>2025</v>
      </c>
      <c r="N269" s="1" t="str">
        <f>TEXT(B269,"mmmm")</f>
        <v>December</v>
      </c>
      <c r="O269" s="1" t="str">
        <f>IF(J269&gt;=100000,"Excellent", IF(J269&gt;=50000,"Good","Average"))</f>
        <v>Average</v>
      </c>
      <c r="P269" s="1">
        <f>(H269*G269)*(I269/100)</f>
        <v>2700</v>
      </c>
      <c r="Q269" s="1">
        <f ca="1">J269-Q269</f>
        <v>0</v>
      </c>
    </row>
    <row r="270" spans="1:17" x14ac:dyDescent="0.25">
      <c r="A270" s="1">
        <v>1299</v>
      </c>
      <c r="B270" s="1" t="s">
        <v>263</v>
      </c>
      <c r="C270" s="1" t="s">
        <v>39</v>
      </c>
      <c r="D270" s="1" t="s">
        <v>17</v>
      </c>
      <c r="E270" s="1" t="s">
        <v>43</v>
      </c>
      <c r="F270" s="1" t="s">
        <v>24</v>
      </c>
      <c r="G270" s="1">
        <v>3</v>
      </c>
      <c r="H270" s="1">
        <v>9000</v>
      </c>
      <c r="I270" s="1">
        <v>10</v>
      </c>
      <c r="J270" s="1">
        <v>24300</v>
      </c>
      <c r="K270" s="1">
        <v>4005.52</v>
      </c>
      <c r="L270" s="1" t="str">
        <f>IF(K270&gt;=15000,"High Profit","Low Profit")</f>
        <v>Low Profit</v>
      </c>
      <c r="M270" s="1">
        <f>YEAR(B270)</f>
        <v>2025</v>
      </c>
      <c r="N270" s="1" t="str">
        <f>TEXT(B270,"mmmm")</f>
        <v>September</v>
      </c>
      <c r="O270" s="1" t="str">
        <f>IF(J270&gt;=100000,"Excellent", IF(J270&gt;=50000,"Good","Average"))</f>
        <v>Average</v>
      </c>
      <c r="P270" s="1">
        <f>(H270*G270)*(I270/100)</f>
        <v>2700</v>
      </c>
      <c r="Q270" s="1">
        <f ca="1">J270-Q270</f>
        <v>0</v>
      </c>
    </row>
    <row r="271" spans="1:17" x14ac:dyDescent="0.25">
      <c r="A271" s="1">
        <v>1421</v>
      </c>
      <c r="B271" s="1" t="s">
        <v>64</v>
      </c>
      <c r="C271" s="1" t="s">
        <v>36</v>
      </c>
      <c r="D271" s="1" t="s">
        <v>22</v>
      </c>
      <c r="E271" s="1" t="s">
        <v>43</v>
      </c>
      <c r="F271" s="1" t="s">
        <v>24</v>
      </c>
      <c r="G271" s="1">
        <v>3</v>
      </c>
      <c r="H271" s="1">
        <v>9000</v>
      </c>
      <c r="I271" s="1">
        <v>10</v>
      </c>
      <c r="J271" s="1">
        <v>24300</v>
      </c>
      <c r="K271" s="1">
        <v>2771.12</v>
      </c>
      <c r="L271" s="1" t="str">
        <f>IF(K271&gt;=15000,"High Profit","Low Profit")</f>
        <v>Low Profit</v>
      </c>
      <c r="M271" s="1">
        <f>YEAR(B271)</f>
        <v>2025</v>
      </c>
      <c r="N271" s="1" t="str">
        <f>TEXT(B271,"mmmm")</f>
        <v>November</v>
      </c>
      <c r="O271" s="1" t="str">
        <f>IF(J271&gt;=100000,"Excellent", IF(J271&gt;=50000,"Good","Average"))</f>
        <v>Average</v>
      </c>
      <c r="P271" s="1">
        <f>(H271*G271)*(I271/100)</f>
        <v>2700</v>
      </c>
      <c r="Q271" s="1">
        <f ca="1">J271-Q271</f>
        <v>0</v>
      </c>
    </row>
    <row r="272" spans="1:17" x14ac:dyDescent="0.25">
      <c r="A272" s="1">
        <v>1276</v>
      </c>
      <c r="B272" s="1" t="s">
        <v>247</v>
      </c>
      <c r="C272" s="1" t="s">
        <v>26</v>
      </c>
      <c r="D272" s="1" t="s">
        <v>22</v>
      </c>
      <c r="E272" s="1" t="s">
        <v>18</v>
      </c>
      <c r="F272" s="1" t="s">
        <v>19</v>
      </c>
      <c r="G272" s="1">
        <v>4</v>
      </c>
      <c r="H272" s="1">
        <v>7000</v>
      </c>
      <c r="I272" s="1">
        <v>15</v>
      </c>
      <c r="J272" s="1">
        <v>23800</v>
      </c>
      <c r="K272" s="1">
        <v>3981.92</v>
      </c>
      <c r="L272" s="1" t="str">
        <f>IF(K272&gt;=15000,"High Profit","Low Profit")</f>
        <v>Low Profit</v>
      </c>
      <c r="M272" s="1">
        <f>YEAR(B272)</f>
        <v>2025</v>
      </c>
      <c r="N272" s="1" t="str">
        <f>TEXT(B272,"mmmm")</f>
        <v>November</v>
      </c>
      <c r="O272" s="1" t="str">
        <f>IF(J272&gt;=100000,"Excellent", IF(J272&gt;=50000,"Good","Average"))</f>
        <v>Average</v>
      </c>
      <c r="P272" s="1">
        <f>(H272*G272)*(I272/100)</f>
        <v>4200</v>
      </c>
      <c r="Q272" s="1">
        <f ca="1">J272-Q272</f>
        <v>0</v>
      </c>
    </row>
    <row r="273" spans="1:17" x14ac:dyDescent="0.25">
      <c r="A273" s="1">
        <v>1052</v>
      </c>
      <c r="B273" s="1" t="s">
        <v>78</v>
      </c>
      <c r="C273" s="1" t="s">
        <v>39</v>
      </c>
      <c r="D273" s="1" t="s">
        <v>27</v>
      </c>
      <c r="E273" s="1" t="s">
        <v>43</v>
      </c>
      <c r="F273" s="1" t="s">
        <v>24</v>
      </c>
      <c r="G273" s="1">
        <v>3</v>
      </c>
      <c r="H273" s="1">
        <v>9000</v>
      </c>
      <c r="I273" s="1">
        <v>15</v>
      </c>
      <c r="J273" s="1">
        <v>22950</v>
      </c>
      <c r="K273" s="1">
        <v>3684.37</v>
      </c>
      <c r="L273" s="1" t="str">
        <f>IF(K273&gt;=15000,"High Profit","Low Profit")</f>
        <v>Low Profit</v>
      </c>
      <c r="M273" s="1">
        <f>YEAR(B273)</f>
        <v>2025</v>
      </c>
      <c r="N273" s="1" t="str">
        <f>TEXT(B273,"mmmm")</f>
        <v>August</v>
      </c>
      <c r="O273" s="1" t="str">
        <f>IF(J273&gt;=100000,"Excellent", IF(J273&gt;=50000,"Good","Average"))</f>
        <v>Average</v>
      </c>
      <c r="P273" s="1">
        <f>(H273*G273)*(I273/100)</f>
        <v>4050</v>
      </c>
      <c r="Q273" s="1">
        <f ca="1">J273-Q273</f>
        <v>0</v>
      </c>
    </row>
    <row r="274" spans="1:17" x14ac:dyDescent="0.25">
      <c r="A274" s="1">
        <v>1074</v>
      </c>
      <c r="B274" s="1" t="s">
        <v>99</v>
      </c>
      <c r="C274" s="1" t="s">
        <v>30</v>
      </c>
      <c r="D274" s="1" t="s">
        <v>22</v>
      </c>
      <c r="E274" s="1" t="s">
        <v>43</v>
      </c>
      <c r="F274" s="1" t="s">
        <v>24</v>
      </c>
      <c r="G274" s="1">
        <v>3</v>
      </c>
      <c r="H274" s="1">
        <v>9000</v>
      </c>
      <c r="I274" s="1">
        <v>15</v>
      </c>
      <c r="J274" s="1">
        <v>22950</v>
      </c>
      <c r="K274" s="1">
        <v>2624.62</v>
      </c>
      <c r="L274" s="1" t="str">
        <f>IF(K274&gt;=15000,"High Profit","Low Profit")</f>
        <v>Low Profit</v>
      </c>
      <c r="M274" s="1">
        <f>YEAR(B274)</f>
        <v>2025</v>
      </c>
      <c r="N274" s="1" t="str">
        <f>TEXT(B274,"mmmm")</f>
        <v>November</v>
      </c>
      <c r="O274" s="1" t="str">
        <f>IF(J274&gt;=100000,"Excellent", IF(J274&gt;=50000,"Good","Average"))</f>
        <v>Average</v>
      </c>
      <c r="P274" s="1">
        <f>(H274*G274)*(I274/100)</f>
        <v>4050</v>
      </c>
      <c r="Q274" s="1">
        <f ca="1">J274-Q274</f>
        <v>0</v>
      </c>
    </row>
    <row r="275" spans="1:17" x14ac:dyDescent="0.25">
      <c r="A275" s="1">
        <v>1238</v>
      </c>
      <c r="B275" s="1" t="s">
        <v>212</v>
      </c>
      <c r="C275" s="1" t="s">
        <v>30</v>
      </c>
      <c r="D275" s="1" t="s">
        <v>17</v>
      </c>
      <c r="E275" s="1" t="s">
        <v>43</v>
      </c>
      <c r="F275" s="1" t="s">
        <v>24</v>
      </c>
      <c r="G275" s="1">
        <v>3</v>
      </c>
      <c r="H275" s="1">
        <v>9000</v>
      </c>
      <c r="I275" s="1">
        <v>15</v>
      </c>
      <c r="J275" s="1">
        <v>22950</v>
      </c>
      <c r="K275" s="1">
        <v>2827.61</v>
      </c>
      <c r="L275" s="1" t="str">
        <f>IF(K275&gt;=15000,"High Profit","Low Profit")</f>
        <v>Low Profit</v>
      </c>
      <c r="M275" s="1">
        <f>YEAR(B275)</f>
        <v>2025</v>
      </c>
      <c r="N275" s="1" t="str">
        <f>TEXT(B275,"mmmm")</f>
        <v>March</v>
      </c>
      <c r="O275" s="1" t="str">
        <f>IF(J275&gt;=100000,"Excellent", IF(J275&gt;=50000,"Good","Average"))</f>
        <v>Average</v>
      </c>
      <c r="P275" s="1">
        <f>(H275*G275)*(I275/100)</f>
        <v>4050</v>
      </c>
      <c r="Q275" s="1">
        <f ca="1">J275-Q275</f>
        <v>0</v>
      </c>
    </row>
    <row r="276" spans="1:17" x14ac:dyDescent="0.25">
      <c r="A276" s="1">
        <v>1493</v>
      </c>
      <c r="B276" s="1" t="s">
        <v>270</v>
      </c>
      <c r="C276" s="1" t="s">
        <v>32</v>
      </c>
      <c r="D276" s="1" t="s">
        <v>17</v>
      </c>
      <c r="E276" s="1" t="s">
        <v>43</v>
      </c>
      <c r="F276" s="1" t="s">
        <v>24</v>
      </c>
      <c r="G276" s="1">
        <v>3</v>
      </c>
      <c r="H276" s="1">
        <v>9000</v>
      </c>
      <c r="I276" s="1">
        <v>15</v>
      </c>
      <c r="J276" s="1">
        <v>22950</v>
      </c>
      <c r="K276" s="1">
        <v>2803.77</v>
      </c>
      <c r="L276" s="1" t="str">
        <f>IF(K276&gt;=15000,"High Profit","Low Profit")</f>
        <v>Low Profit</v>
      </c>
      <c r="M276" s="1">
        <f>YEAR(B276)</f>
        <v>2025</v>
      </c>
      <c r="N276" s="1" t="str">
        <f>TEXT(B276,"mmmm")</f>
        <v>January</v>
      </c>
      <c r="O276" s="1" t="str">
        <f>IF(J276&gt;=100000,"Excellent", IF(J276&gt;=50000,"Good","Average"))</f>
        <v>Average</v>
      </c>
      <c r="P276" s="1">
        <f>(H276*G276)*(I276/100)</f>
        <v>4050</v>
      </c>
      <c r="Q276" s="1">
        <f ca="1">J276-Q276</f>
        <v>0</v>
      </c>
    </row>
    <row r="277" spans="1:17" x14ac:dyDescent="0.25">
      <c r="A277" s="1">
        <v>1127</v>
      </c>
      <c r="B277" s="1" t="s">
        <v>147</v>
      </c>
      <c r="C277" s="1" t="s">
        <v>39</v>
      </c>
      <c r="D277" s="1" t="s">
        <v>22</v>
      </c>
      <c r="E277" s="1" t="s">
        <v>23</v>
      </c>
      <c r="F277" s="1" t="s">
        <v>24</v>
      </c>
      <c r="G277" s="1">
        <v>2</v>
      </c>
      <c r="H277" s="1">
        <v>12000</v>
      </c>
      <c r="I277" s="1">
        <v>5</v>
      </c>
      <c r="J277" s="1">
        <v>22800</v>
      </c>
      <c r="K277" s="1">
        <v>3074.57</v>
      </c>
      <c r="L277" s="1" t="str">
        <f>IF(K277&gt;=15000,"High Profit","Low Profit")</f>
        <v>Low Profit</v>
      </c>
      <c r="M277" s="1">
        <f>YEAR(B277)</f>
        <v>2025</v>
      </c>
      <c r="N277" s="1" t="str">
        <f>TEXT(B277,"mmmm")</f>
        <v>April</v>
      </c>
      <c r="O277" s="1" t="str">
        <f>IF(J277&gt;=100000,"Excellent", IF(J277&gt;=50000,"Good","Average"))</f>
        <v>Average</v>
      </c>
      <c r="P277" s="1">
        <f>(H277*G277)*(I277/100)</f>
        <v>1200</v>
      </c>
      <c r="Q277" s="1">
        <f ca="1">J277-Q277</f>
        <v>0</v>
      </c>
    </row>
    <row r="278" spans="1:17" x14ac:dyDescent="0.25">
      <c r="A278" s="1">
        <v>1275</v>
      </c>
      <c r="B278" s="1" t="s">
        <v>246</v>
      </c>
      <c r="C278" s="1" t="s">
        <v>39</v>
      </c>
      <c r="D278" s="1" t="s">
        <v>17</v>
      </c>
      <c r="E278" s="1" t="s">
        <v>23</v>
      </c>
      <c r="F278" s="1" t="s">
        <v>24</v>
      </c>
      <c r="G278" s="1">
        <v>2</v>
      </c>
      <c r="H278" s="1">
        <v>12000</v>
      </c>
      <c r="I278" s="1">
        <v>5</v>
      </c>
      <c r="J278" s="1">
        <v>22800</v>
      </c>
      <c r="K278" s="1">
        <v>2086.61</v>
      </c>
      <c r="L278" s="1" t="str">
        <f>IF(K278&gt;=15000,"High Profit","Low Profit")</f>
        <v>Low Profit</v>
      </c>
      <c r="M278" s="1">
        <f>YEAR(B278)</f>
        <v>2025</v>
      </c>
      <c r="N278" s="1" t="str">
        <f>TEXT(B278,"mmmm")</f>
        <v>February</v>
      </c>
      <c r="O278" s="1" t="str">
        <f>IF(J278&gt;=100000,"Excellent", IF(J278&gt;=50000,"Good","Average"))</f>
        <v>Average</v>
      </c>
      <c r="P278" s="1">
        <f>(H278*G278)*(I278/100)</f>
        <v>1200</v>
      </c>
      <c r="Q278" s="1">
        <f ca="1">J278-Q278</f>
        <v>0</v>
      </c>
    </row>
    <row r="279" spans="1:17" x14ac:dyDescent="0.25">
      <c r="A279" s="1">
        <v>1409</v>
      </c>
      <c r="B279" s="1" t="s">
        <v>312</v>
      </c>
      <c r="C279" s="1" t="s">
        <v>26</v>
      </c>
      <c r="D279" s="1" t="s">
        <v>17</v>
      </c>
      <c r="E279" s="1" t="s">
        <v>23</v>
      </c>
      <c r="F279" s="1" t="s">
        <v>24</v>
      </c>
      <c r="G279" s="1">
        <v>2</v>
      </c>
      <c r="H279" s="1">
        <v>12000</v>
      </c>
      <c r="I279" s="1">
        <v>5</v>
      </c>
      <c r="J279" s="1">
        <v>22800</v>
      </c>
      <c r="K279" s="1">
        <v>5427.52</v>
      </c>
      <c r="L279" s="1" t="str">
        <f>IF(K279&gt;=15000,"High Profit","Low Profit")</f>
        <v>Low Profit</v>
      </c>
      <c r="M279" s="1">
        <f>YEAR(B279)</f>
        <v>2025</v>
      </c>
      <c r="N279" s="1" t="str">
        <f>TEXT(B279,"mmmm")</f>
        <v>September</v>
      </c>
      <c r="O279" s="1" t="str">
        <f>IF(J279&gt;=100000,"Excellent", IF(J279&gt;=50000,"Good","Average"))</f>
        <v>Average</v>
      </c>
      <c r="P279" s="1">
        <f>(H279*G279)*(I279/100)</f>
        <v>1200</v>
      </c>
      <c r="Q279" s="1">
        <f ca="1">J279-Q279</f>
        <v>0</v>
      </c>
    </row>
    <row r="280" spans="1:17" x14ac:dyDescent="0.25">
      <c r="A280" s="1">
        <v>1460</v>
      </c>
      <c r="B280" s="1" t="s">
        <v>281</v>
      </c>
      <c r="C280" s="1" t="s">
        <v>41</v>
      </c>
      <c r="D280" s="1" t="s">
        <v>22</v>
      </c>
      <c r="E280" s="1" t="s">
        <v>23</v>
      </c>
      <c r="F280" s="1" t="s">
        <v>24</v>
      </c>
      <c r="G280" s="1">
        <v>2</v>
      </c>
      <c r="H280" s="1">
        <v>12000</v>
      </c>
      <c r="I280" s="1">
        <v>5</v>
      </c>
      <c r="J280" s="1">
        <v>22800</v>
      </c>
      <c r="K280" s="1">
        <v>4390.26</v>
      </c>
      <c r="L280" s="1" t="str">
        <f>IF(K280&gt;=15000,"High Profit","Low Profit")</f>
        <v>Low Profit</v>
      </c>
      <c r="M280" s="1">
        <f>YEAR(B280)</f>
        <v>2025</v>
      </c>
      <c r="N280" s="1" t="str">
        <f>TEXT(B280,"mmmm")</f>
        <v>April</v>
      </c>
      <c r="O280" s="1" t="str">
        <f>IF(J280&gt;=100000,"Excellent", IF(J280&gt;=50000,"Good","Average"))</f>
        <v>Average</v>
      </c>
      <c r="P280" s="1">
        <f>(H280*G280)*(I280/100)</f>
        <v>1200</v>
      </c>
      <c r="Q280" s="1">
        <f ca="1">J280-Q280</f>
        <v>0</v>
      </c>
    </row>
    <row r="281" spans="1:17" x14ac:dyDescent="0.25">
      <c r="A281" s="1">
        <v>1479</v>
      </c>
      <c r="B281" s="1" t="s">
        <v>338</v>
      </c>
      <c r="C281" s="1" t="s">
        <v>32</v>
      </c>
      <c r="D281" s="1" t="s">
        <v>22</v>
      </c>
      <c r="E281" s="1" t="s">
        <v>23</v>
      </c>
      <c r="F281" s="1" t="s">
        <v>24</v>
      </c>
      <c r="G281" s="1">
        <v>2</v>
      </c>
      <c r="H281" s="1">
        <v>12000</v>
      </c>
      <c r="I281" s="1">
        <v>5</v>
      </c>
      <c r="J281" s="1">
        <v>22800</v>
      </c>
      <c r="K281" s="1">
        <v>5613.69</v>
      </c>
      <c r="L281" s="1" t="str">
        <f>IF(K281&gt;=15000,"High Profit","Low Profit")</f>
        <v>Low Profit</v>
      </c>
      <c r="M281" s="1">
        <f>YEAR(B281)</f>
        <v>2026</v>
      </c>
      <c r="N281" s="1" t="str">
        <f>TEXT(B281,"mmmm")</f>
        <v>May</v>
      </c>
      <c r="O281" s="1" t="str">
        <f>IF(J281&gt;=100000,"Excellent", IF(J281&gt;=50000,"Good","Average"))</f>
        <v>Average</v>
      </c>
      <c r="P281" s="1">
        <f>(H281*G281)*(I281/100)</f>
        <v>1200</v>
      </c>
      <c r="Q281" s="1">
        <f ca="1">J281-Q281</f>
        <v>0</v>
      </c>
    </row>
    <row r="282" spans="1:17" x14ac:dyDescent="0.25">
      <c r="A282" s="1">
        <v>1144</v>
      </c>
      <c r="B282" s="1" t="s">
        <v>74</v>
      </c>
      <c r="C282" s="1" t="s">
        <v>26</v>
      </c>
      <c r="D282" s="1" t="s">
        <v>22</v>
      </c>
      <c r="E282" s="1" t="s">
        <v>18</v>
      </c>
      <c r="F282" s="1" t="s">
        <v>19</v>
      </c>
      <c r="G282" s="1">
        <v>4</v>
      </c>
      <c r="H282" s="1">
        <v>7000</v>
      </c>
      <c r="I282" s="1">
        <v>20</v>
      </c>
      <c r="J282" s="1">
        <v>22400</v>
      </c>
      <c r="K282" s="1">
        <v>4932.9399999999996</v>
      </c>
      <c r="L282" s="1" t="str">
        <f>IF(K282&gt;=15000,"High Profit","Low Profit")</f>
        <v>Low Profit</v>
      </c>
      <c r="M282" s="1">
        <f>YEAR(B282)</f>
        <v>2026</v>
      </c>
      <c r="N282" s="1" t="str">
        <f>TEXT(B282,"mmmm")</f>
        <v>April</v>
      </c>
      <c r="O282" s="1" t="str">
        <f>IF(J282&gt;=100000,"Excellent", IF(J282&gt;=50000,"Good","Average"))</f>
        <v>Average</v>
      </c>
      <c r="P282" s="1">
        <f>(H282*G282)*(I282/100)</f>
        <v>5600</v>
      </c>
      <c r="Q282" s="1">
        <f ca="1">J282-Q282</f>
        <v>0</v>
      </c>
    </row>
    <row r="283" spans="1:17" x14ac:dyDescent="0.25">
      <c r="A283" s="1">
        <v>1393</v>
      </c>
      <c r="B283" s="1" t="s">
        <v>128</v>
      </c>
      <c r="C283" s="1" t="s">
        <v>41</v>
      </c>
      <c r="D283" s="1" t="s">
        <v>22</v>
      </c>
      <c r="E283" s="1" t="s">
        <v>18</v>
      </c>
      <c r="F283" s="1" t="s">
        <v>19</v>
      </c>
      <c r="G283" s="1">
        <v>4</v>
      </c>
      <c r="H283" s="1">
        <v>7000</v>
      </c>
      <c r="I283" s="1">
        <v>20</v>
      </c>
      <c r="J283" s="1">
        <v>22400</v>
      </c>
      <c r="K283" s="1">
        <v>4862.3999999999996</v>
      </c>
      <c r="L283" s="1" t="str">
        <f>IF(K283&gt;=15000,"High Profit","Low Profit")</f>
        <v>Low Profit</v>
      </c>
      <c r="M283" s="1">
        <f>YEAR(B283)</f>
        <v>2025</v>
      </c>
      <c r="N283" s="1" t="str">
        <f>TEXT(B283,"mmmm")</f>
        <v>September</v>
      </c>
      <c r="O283" s="1" t="str">
        <f>IF(J283&gt;=100000,"Excellent", IF(J283&gt;=50000,"Good","Average"))</f>
        <v>Average</v>
      </c>
      <c r="P283" s="1">
        <f>(H283*G283)*(I283/100)</f>
        <v>5600</v>
      </c>
      <c r="Q283" s="1">
        <f ca="1">J283-Q283</f>
        <v>0</v>
      </c>
    </row>
    <row r="284" spans="1:17" x14ac:dyDescent="0.25">
      <c r="A284" s="1">
        <v>1072</v>
      </c>
      <c r="B284" s="1" t="s">
        <v>97</v>
      </c>
      <c r="C284" s="1" t="s">
        <v>41</v>
      </c>
      <c r="D284" s="1" t="s">
        <v>17</v>
      </c>
      <c r="E284" s="1" t="s">
        <v>43</v>
      </c>
      <c r="F284" s="1" t="s">
        <v>24</v>
      </c>
      <c r="G284" s="1">
        <v>3</v>
      </c>
      <c r="H284" s="1">
        <v>9000</v>
      </c>
      <c r="I284" s="1">
        <v>20</v>
      </c>
      <c r="J284" s="1">
        <v>21600</v>
      </c>
      <c r="K284" s="1">
        <v>2571.69</v>
      </c>
      <c r="L284" s="1" t="str">
        <f>IF(K284&gt;=15000,"High Profit","Low Profit")</f>
        <v>Low Profit</v>
      </c>
      <c r="M284" s="1">
        <f>YEAR(B284)</f>
        <v>2025</v>
      </c>
      <c r="N284" s="1" t="str">
        <f>TEXT(B284,"mmmm")</f>
        <v>February</v>
      </c>
      <c r="O284" s="1" t="str">
        <f>IF(J284&gt;=100000,"Excellent", IF(J284&gt;=50000,"Good","Average"))</f>
        <v>Average</v>
      </c>
      <c r="P284" s="1">
        <f>(H284*G284)*(I284/100)</f>
        <v>5400</v>
      </c>
      <c r="Q284" s="1">
        <f ca="1">J284-Q284</f>
        <v>0</v>
      </c>
    </row>
    <row r="285" spans="1:17" x14ac:dyDescent="0.25">
      <c r="A285" s="1">
        <v>1173</v>
      </c>
      <c r="B285" s="1" t="s">
        <v>178</v>
      </c>
      <c r="C285" s="1" t="s">
        <v>36</v>
      </c>
      <c r="D285" s="1" t="s">
        <v>22</v>
      </c>
      <c r="E285" s="1" t="s">
        <v>43</v>
      </c>
      <c r="F285" s="1" t="s">
        <v>24</v>
      </c>
      <c r="G285" s="1">
        <v>3</v>
      </c>
      <c r="H285" s="1">
        <v>9000</v>
      </c>
      <c r="I285" s="1">
        <v>20</v>
      </c>
      <c r="J285" s="1">
        <v>21600</v>
      </c>
      <c r="K285" s="1">
        <v>2122.4299999999998</v>
      </c>
      <c r="L285" s="1" t="str">
        <f>IF(K285&gt;=15000,"High Profit","Low Profit")</f>
        <v>Low Profit</v>
      </c>
      <c r="M285" s="1">
        <f>YEAR(B285)</f>
        <v>2025</v>
      </c>
      <c r="N285" s="1" t="str">
        <f>TEXT(B285,"mmmm")</f>
        <v>September</v>
      </c>
      <c r="O285" s="1" t="str">
        <f>IF(J285&gt;=100000,"Excellent", IF(J285&gt;=50000,"Good","Average"))</f>
        <v>Average</v>
      </c>
      <c r="P285" s="1">
        <f>(H285*G285)*(I285/100)</f>
        <v>5400</v>
      </c>
      <c r="Q285" s="1">
        <f ca="1">J285-Q285</f>
        <v>0</v>
      </c>
    </row>
    <row r="286" spans="1:17" x14ac:dyDescent="0.25">
      <c r="A286" s="1">
        <v>1186</v>
      </c>
      <c r="B286" s="1" t="s">
        <v>188</v>
      </c>
      <c r="C286" s="1" t="s">
        <v>30</v>
      </c>
      <c r="D286" s="1" t="s">
        <v>17</v>
      </c>
      <c r="E286" s="1" t="s">
        <v>43</v>
      </c>
      <c r="F286" s="1" t="s">
        <v>24</v>
      </c>
      <c r="G286" s="1">
        <v>3</v>
      </c>
      <c r="H286" s="1">
        <v>9000</v>
      </c>
      <c r="I286" s="1">
        <v>20</v>
      </c>
      <c r="J286" s="1">
        <v>21600</v>
      </c>
      <c r="K286" s="1">
        <v>2276.41</v>
      </c>
      <c r="L286" s="1" t="str">
        <f>IF(K286&gt;=15000,"High Profit","Low Profit")</f>
        <v>Low Profit</v>
      </c>
      <c r="M286" s="1">
        <f>YEAR(B286)</f>
        <v>2025</v>
      </c>
      <c r="N286" s="1" t="str">
        <f>TEXT(B286,"mmmm")</f>
        <v>September</v>
      </c>
      <c r="O286" s="1" t="str">
        <f>IF(J286&gt;=100000,"Excellent", IF(J286&gt;=50000,"Good","Average"))</f>
        <v>Average</v>
      </c>
      <c r="P286" s="1">
        <f>(H286*G286)*(I286/100)</f>
        <v>5400</v>
      </c>
      <c r="Q286" s="1">
        <f ca="1">J286-Q286</f>
        <v>0</v>
      </c>
    </row>
    <row r="287" spans="1:17" x14ac:dyDescent="0.25">
      <c r="A287" s="1">
        <v>1424</v>
      </c>
      <c r="B287" s="1" t="s">
        <v>247</v>
      </c>
      <c r="C287" s="1" t="s">
        <v>45</v>
      </c>
      <c r="D287" s="1" t="s">
        <v>17</v>
      </c>
      <c r="E287" s="1" t="s">
        <v>23</v>
      </c>
      <c r="F287" s="1" t="s">
        <v>24</v>
      </c>
      <c r="G287" s="1">
        <v>2</v>
      </c>
      <c r="H287" s="1">
        <v>12000</v>
      </c>
      <c r="I287" s="1">
        <v>10</v>
      </c>
      <c r="J287" s="1">
        <v>21600</v>
      </c>
      <c r="K287" s="1">
        <v>1925.91</v>
      </c>
      <c r="L287" s="1" t="str">
        <f>IF(K287&gt;=15000,"High Profit","Low Profit")</f>
        <v>Low Profit</v>
      </c>
      <c r="M287" s="1">
        <f>YEAR(B287)</f>
        <v>2025</v>
      </c>
      <c r="N287" s="1" t="str">
        <f>TEXT(B287,"mmmm")</f>
        <v>November</v>
      </c>
      <c r="O287" s="1" t="str">
        <f>IF(J287&gt;=100000,"Excellent", IF(J287&gt;=50000,"Good","Average"))</f>
        <v>Average</v>
      </c>
      <c r="P287" s="1">
        <f>(H287*G287)*(I287/100)</f>
        <v>2400</v>
      </c>
      <c r="Q287" s="1">
        <f ca="1">J287-Q287</f>
        <v>0</v>
      </c>
    </row>
    <row r="288" spans="1:17" x14ac:dyDescent="0.25">
      <c r="A288" s="1">
        <v>1470</v>
      </c>
      <c r="B288" s="1" t="s">
        <v>105</v>
      </c>
      <c r="C288" s="1" t="s">
        <v>39</v>
      </c>
      <c r="D288" s="1" t="s">
        <v>17</v>
      </c>
      <c r="E288" s="1" t="s">
        <v>43</v>
      </c>
      <c r="F288" s="1" t="s">
        <v>24</v>
      </c>
      <c r="G288" s="1">
        <v>3</v>
      </c>
      <c r="H288" s="1">
        <v>9000</v>
      </c>
      <c r="I288" s="1">
        <v>20</v>
      </c>
      <c r="J288" s="1">
        <v>21600</v>
      </c>
      <c r="K288" s="1">
        <v>4061</v>
      </c>
      <c r="L288" s="1" t="str">
        <f>IF(K288&gt;=15000,"High Profit","Low Profit")</f>
        <v>Low Profit</v>
      </c>
      <c r="M288" s="1">
        <f>YEAR(B288)</f>
        <v>2025</v>
      </c>
      <c r="N288" s="1" t="str">
        <f>TEXT(B288,"mmmm")</f>
        <v>January</v>
      </c>
      <c r="O288" s="1" t="str">
        <f>IF(J288&gt;=100000,"Excellent", IF(J288&gt;=50000,"Good","Average"))</f>
        <v>Average</v>
      </c>
      <c r="P288" s="1">
        <f>(H288*G288)*(I288/100)</f>
        <v>5400</v>
      </c>
      <c r="Q288" s="1">
        <f ca="1">J288-Q288</f>
        <v>0</v>
      </c>
    </row>
    <row r="289" spans="1:17" x14ac:dyDescent="0.25">
      <c r="A289" s="1">
        <v>1029</v>
      </c>
      <c r="B289" s="1" t="s">
        <v>59</v>
      </c>
      <c r="C289" s="1" t="s">
        <v>36</v>
      </c>
      <c r="D289" s="1" t="s">
        <v>17</v>
      </c>
      <c r="E289" s="1" t="s">
        <v>18</v>
      </c>
      <c r="F289" s="1" t="s">
        <v>19</v>
      </c>
      <c r="G289" s="1">
        <v>3</v>
      </c>
      <c r="H289" s="1">
        <v>7000</v>
      </c>
      <c r="I289" s="1">
        <v>0</v>
      </c>
      <c r="J289" s="1">
        <v>21000</v>
      </c>
      <c r="K289" s="1">
        <v>3205.78</v>
      </c>
      <c r="L289" s="1" t="str">
        <f>IF(K289&gt;=15000,"High Profit","Low Profit")</f>
        <v>Low Profit</v>
      </c>
      <c r="M289" s="1">
        <f>YEAR(B289)</f>
        <v>2025</v>
      </c>
      <c r="N289" s="1" t="str">
        <f>TEXT(B289,"mmmm")</f>
        <v>May</v>
      </c>
      <c r="O289" s="1" t="str">
        <f>IF(J289&gt;=100000,"Excellent", IF(J289&gt;=50000,"Good","Average"))</f>
        <v>Average</v>
      </c>
      <c r="P289" s="1">
        <f>(H289*G289)*(I289/100)</f>
        <v>0</v>
      </c>
      <c r="Q289" s="1">
        <f ca="1">J289-Q289</f>
        <v>0</v>
      </c>
    </row>
    <row r="290" spans="1:17" x14ac:dyDescent="0.25">
      <c r="A290" s="1">
        <v>1148</v>
      </c>
      <c r="B290" s="1" t="s">
        <v>163</v>
      </c>
      <c r="C290" s="1" t="s">
        <v>32</v>
      </c>
      <c r="D290" s="1" t="s">
        <v>13</v>
      </c>
      <c r="E290" s="1" t="s">
        <v>18</v>
      </c>
      <c r="F290" s="1" t="s">
        <v>19</v>
      </c>
      <c r="G290" s="1">
        <v>3</v>
      </c>
      <c r="H290" s="1">
        <v>7000</v>
      </c>
      <c r="I290" s="1">
        <v>0</v>
      </c>
      <c r="J290" s="1">
        <v>21000</v>
      </c>
      <c r="K290" s="1">
        <v>4252.91</v>
      </c>
      <c r="L290" s="1" t="str">
        <f>IF(K290&gt;=15000,"High Profit","Low Profit")</f>
        <v>Low Profit</v>
      </c>
      <c r="M290" s="1">
        <f>YEAR(B290)</f>
        <v>2025</v>
      </c>
      <c r="N290" s="1" t="str">
        <f>TEXT(B290,"mmmm")</f>
        <v>March</v>
      </c>
      <c r="O290" s="1" t="str">
        <f>IF(J290&gt;=100000,"Excellent", IF(J290&gt;=50000,"Good","Average"))</f>
        <v>Average</v>
      </c>
      <c r="P290" s="1">
        <f>(H290*G290)*(I290/100)</f>
        <v>0</v>
      </c>
      <c r="Q290" s="1">
        <f ca="1">J290-Q290</f>
        <v>0</v>
      </c>
    </row>
    <row r="291" spans="1:17" x14ac:dyDescent="0.25">
      <c r="A291" s="1">
        <v>1227</v>
      </c>
      <c r="B291" s="1" t="s">
        <v>217</v>
      </c>
      <c r="C291" s="1" t="s">
        <v>36</v>
      </c>
      <c r="D291" s="1" t="s">
        <v>22</v>
      </c>
      <c r="E291" s="1" t="s">
        <v>18</v>
      </c>
      <c r="F291" s="1" t="s">
        <v>19</v>
      </c>
      <c r="G291" s="1">
        <v>3</v>
      </c>
      <c r="H291" s="1">
        <v>7000</v>
      </c>
      <c r="I291" s="1">
        <v>0</v>
      </c>
      <c r="J291" s="1">
        <v>21000</v>
      </c>
      <c r="K291" s="1">
        <v>1955.26</v>
      </c>
      <c r="L291" s="1" t="str">
        <f>IF(K291&gt;=15000,"High Profit","Low Profit")</f>
        <v>Low Profit</v>
      </c>
      <c r="M291" s="1">
        <f>YEAR(B291)</f>
        <v>2026</v>
      </c>
      <c r="N291" s="1" t="str">
        <f>TEXT(B291,"mmmm")</f>
        <v>April</v>
      </c>
      <c r="O291" s="1" t="str">
        <f>IF(J291&gt;=100000,"Excellent", IF(J291&gt;=50000,"Good","Average"))</f>
        <v>Average</v>
      </c>
      <c r="P291" s="1">
        <f>(H291*G291)*(I291/100)</f>
        <v>0</v>
      </c>
      <c r="Q291" s="1">
        <f ca="1">J291-Q291</f>
        <v>0</v>
      </c>
    </row>
    <row r="292" spans="1:17" x14ac:dyDescent="0.25">
      <c r="A292" s="1">
        <v>1338</v>
      </c>
      <c r="B292" s="1" t="s">
        <v>116</v>
      </c>
      <c r="C292" s="1" t="s">
        <v>21</v>
      </c>
      <c r="D292" s="1" t="s">
        <v>27</v>
      </c>
      <c r="E292" s="1" t="s">
        <v>18</v>
      </c>
      <c r="F292" s="1" t="s">
        <v>19</v>
      </c>
      <c r="G292" s="1">
        <v>3</v>
      </c>
      <c r="H292" s="1">
        <v>7000</v>
      </c>
      <c r="I292" s="1">
        <v>0</v>
      </c>
      <c r="J292" s="1">
        <v>21000</v>
      </c>
      <c r="K292" s="1">
        <v>2670.03</v>
      </c>
      <c r="L292" s="1" t="str">
        <f>IF(K292&gt;=15000,"High Profit","Low Profit")</f>
        <v>Low Profit</v>
      </c>
      <c r="M292" s="1">
        <f>YEAR(B292)</f>
        <v>2026</v>
      </c>
      <c r="N292" s="1" t="str">
        <f>TEXT(B292,"mmmm")</f>
        <v>March</v>
      </c>
      <c r="O292" s="1" t="str">
        <f>IF(J292&gt;=100000,"Excellent", IF(J292&gt;=50000,"Good","Average"))</f>
        <v>Average</v>
      </c>
      <c r="P292" s="1">
        <f>(H292*G292)*(I292/100)</f>
        <v>0</v>
      </c>
      <c r="Q292" s="1">
        <f ca="1">J292-Q292</f>
        <v>0</v>
      </c>
    </row>
    <row r="293" spans="1:17" x14ac:dyDescent="0.25">
      <c r="A293" s="1">
        <v>1436</v>
      </c>
      <c r="B293" s="1" t="s">
        <v>51</v>
      </c>
      <c r="C293" s="1" t="s">
        <v>45</v>
      </c>
      <c r="D293" s="1" t="s">
        <v>17</v>
      </c>
      <c r="E293" s="1" t="s">
        <v>23</v>
      </c>
      <c r="F293" s="1" t="s">
        <v>24</v>
      </c>
      <c r="G293" s="1">
        <v>2</v>
      </c>
      <c r="H293" s="1">
        <v>12000</v>
      </c>
      <c r="I293" s="1">
        <v>15</v>
      </c>
      <c r="J293" s="1">
        <v>20400</v>
      </c>
      <c r="K293" s="1">
        <v>2461.35</v>
      </c>
      <c r="L293" s="1" t="str">
        <f>IF(K293&gt;=15000,"High Profit","Low Profit")</f>
        <v>Low Profit</v>
      </c>
      <c r="M293" s="1">
        <f>YEAR(B293)</f>
        <v>2025</v>
      </c>
      <c r="N293" s="1" t="str">
        <f>TEXT(B293,"mmmm")</f>
        <v>May</v>
      </c>
      <c r="O293" s="1" t="str">
        <f>IF(J293&gt;=100000,"Excellent", IF(J293&gt;=50000,"Good","Average"))</f>
        <v>Average</v>
      </c>
      <c r="P293" s="1">
        <f>(H293*G293)*(I293/100)</f>
        <v>3600</v>
      </c>
      <c r="Q293" s="1">
        <f ca="1">J293-Q293</f>
        <v>0</v>
      </c>
    </row>
    <row r="294" spans="1:17" x14ac:dyDescent="0.25">
      <c r="A294" s="1">
        <v>1412</v>
      </c>
      <c r="B294" s="1" t="s">
        <v>313</v>
      </c>
      <c r="C294" s="1" t="s">
        <v>12</v>
      </c>
      <c r="D294" s="1" t="s">
        <v>17</v>
      </c>
      <c r="E294" s="1" t="s">
        <v>18</v>
      </c>
      <c r="F294" s="1" t="s">
        <v>19</v>
      </c>
      <c r="G294" s="1">
        <v>3</v>
      </c>
      <c r="H294" s="1">
        <v>7000</v>
      </c>
      <c r="I294" s="1">
        <v>5</v>
      </c>
      <c r="J294" s="1">
        <v>19950</v>
      </c>
      <c r="K294" s="1">
        <v>4453.51</v>
      </c>
      <c r="L294" s="1" t="str">
        <f>IF(K294&gt;=15000,"High Profit","Low Profit")</f>
        <v>Low Profit</v>
      </c>
      <c r="M294" s="1">
        <f>YEAR(B294)</f>
        <v>2025</v>
      </c>
      <c r="N294" s="1" t="str">
        <f>TEXT(B294,"mmmm")</f>
        <v>July</v>
      </c>
      <c r="O294" s="1" t="str">
        <f>IF(J294&gt;=100000,"Excellent", IF(J294&gt;=50000,"Good","Average"))</f>
        <v>Average</v>
      </c>
      <c r="P294" s="1">
        <f>(H294*G294)*(I294/100)</f>
        <v>1050</v>
      </c>
      <c r="Q294" s="1">
        <f ca="1">J294-Q294</f>
        <v>0</v>
      </c>
    </row>
    <row r="295" spans="1:17" x14ac:dyDescent="0.25">
      <c r="A295" s="1">
        <v>1452</v>
      </c>
      <c r="B295" s="1" t="s">
        <v>329</v>
      </c>
      <c r="C295" s="1" t="s">
        <v>45</v>
      </c>
      <c r="D295" s="1" t="s">
        <v>13</v>
      </c>
      <c r="E295" s="1" t="s">
        <v>18</v>
      </c>
      <c r="F295" s="1" t="s">
        <v>19</v>
      </c>
      <c r="G295" s="1">
        <v>3</v>
      </c>
      <c r="H295" s="1">
        <v>7000</v>
      </c>
      <c r="I295" s="1">
        <v>5</v>
      </c>
      <c r="J295" s="1">
        <v>19950</v>
      </c>
      <c r="K295" s="1">
        <v>4585.6400000000003</v>
      </c>
      <c r="L295" s="1" t="str">
        <f>IF(K295&gt;=15000,"High Profit","Low Profit")</f>
        <v>Low Profit</v>
      </c>
      <c r="M295" s="1">
        <f>YEAR(B295)</f>
        <v>2026</v>
      </c>
      <c r="N295" s="1" t="str">
        <f>TEXT(B295,"mmmm")</f>
        <v>April</v>
      </c>
      <c r="O295" s="1" t="str">
        <f>IF(J295&gt;=100000,"Excellent", IF(J295&gt;=50000,"Good","Average"))</f>
        <v>Average</v>
      </c>
      <c r="P295" s="1">
        <f>(H295*G295)*(I295/100)</f>
        <v>1050</v>
      </c>
      <c r="Q295" s="1">
        <f ca="1">J295-Q295</f>
        <v>0</v>
      </c>
    </row>
    <row r="296" spans="1:17" x14ac:dyDescent="0.25">
      <c r="A296" s="1">
        <v>1121</v>
      </c>
      <c r="B296" s="1" t="s">
        <v>138</v>
      </c>
      <c r="C296" s="1" t="s">
        <v>36</v>
      </c>
      <c r="D296" s="1" t="s">
        <v>17</v>
      </c>
      <c r="E296" s="1" t="s">
        <v>23</v>
      </c>
      <c r="F296" s="1" t="s">
        <v>24</v>
      </c>
      <c r="G296" s="1">
        <v>2</v>
      </c>
      <c r="H296" s="1">
        <v>12000</v>
      </c>
      <c r="I296" s="1">
        <v>20</v>
      </c>
      <c r="J296" s="1">
        <v>19200</v>
      </c>
      <c r="K296" s="1">
        <v>4599.6000000000004</v>
      </c>
      <c r="L296" s="1" t="str">
        <f>IF(K296&gt;=15000,"High Profit","Low Profit")</f>
        <v>Low Profit</v>
      </c>
      <c r="M296" s="1">
        <f>YEAR(B296)</f>
        <v>2026</v>
      </c>
      <c r="N296" s="1" t="str">
        <f>TEXT(B296,"mmmm")</f>
        <v>February</v>
      </c>
      <c r="O296" s="1" t="str">
        <f>IF(J296&gt;=100000,"Excellent", IF(J296&gt;=50000,"Good","Average"))</f>
        <v>Average</v>
      </c>
      <c r="P296" s="1">
        <f>(H296*G296)*(I296/100)</f>
        <v>4800</v>
      </c>
      <c r="Q296" s="1">
        <f ca="1">J296-Q296</f>
        <v>0</v>
      </c>
    </row>
    <row r="297" spans="1:17" x14ac:dyDescent="0.25">
      <c r="A297" s="1">
        <v>1209</v>
      </c>
      <c r="B297" s="1" t="s">
        <v>204</v>
      </c>
      <c r="C297" s="1" t="s">
        <v>36</v>
      </c>
      <c r="D297" s="1" t="s">
        <v>13</v>
      </c>
      <c r="E297" s="1" t="s">
        <v>23</v>
      </c>
      <c r="F297" s="1" t="s">
        <v>24</v>
      </c>
      <c r="G297" s="1">
        <v>2</v>
      </c>
      <c r="H297" s="1">
        <v>12000</v>
      </c>
      <c r="I297" s="1">
        <v>20</v>
      </c>
      <c r="J297" s="1">
        <v>19200</v>
      </c>
      <c r="K297" s="1">
        <v>4011.16</v>
      </c>
      <c r="L297" s="1" t="str">
        <f>IF(K297&gt;=15000,"High Profit","Low Profit")</f>
        <v>Low Profit</v>
      </c>
      <c r="M297" s="1">
        <f>YEAR(B297)</f>
        <v>2026</v>
      </c>
      <c r="N297" s="1" t="str">
        <f>TEXT(B297,"mmmm")</f>
        <v>February</v>
      </c>
      <c r="O297" s="1" t="str">
        <f>IF(J297&gt;=100000,"Excellent", IF(J297&gt;=50000,"Good","Average"))</f>
        <v>Average</v>
      </c>
      <c r="P297" s="1">
        <f>(H297*G297)*(I297/100)</f>
        <v>4800</v>
      </c>
      <c r="Q297" s="1">
        <f ca="1">J297-Q297</f>
        <v>0</v>
      </c>
    </row>
    <row r="298" spans="1:17" x14ac:dyDescent="0.25">
      <c r="A298" s="1">
        <v>1300</v>
      </c>
      <c r="B298" s="1" t="s">
        <v>46</v>
      </c>
      <c r="C298" s="1" t="s">
        <v>26</v>
      </c>
      <c r="D298" s="1" t="s">
        <v>22</v>
      </c>
      <c r="E298" s="1" t="s">
        <v>23</v>
      </c>
      <c r="F298" s="1" t="s">
        <v>24</v>
      </c>
      <c r="G298" s="1">
        <v>2</v>
      </c>
      <c r="H298" s="1">
        <v>12000</v>
      </c>
      <c r="I298" s="1">
        <v>20</v>
      </c>
      <c r="J298" s="1">
        <v>19200</v>
      </c>
      <c r="K298" s="1">
        <v>3577.2</v>
      </c>
      <c r="L298" s="1" t="str">
        <f>IF(K298&gt;=15000,"High Profit","Low Profit")</f>
        <v>Low Profit</v>
      </c>
      <c r="M298" s="1">
        <f>YEAR(B298)</f>
        <v>2026</v>
      </c>
      <c r="N298" s="1" t="str">
        <f>TEXT(B298,"mmmm")</f>
        <v>March</v>
      </c>
      <c r="O298" s="1" t="str">
        <f>IF(J298&gt;=100000,"Excellent", IF(J298&gt;=50000,"Good","Average"))</f>
        <v>Average</v>
      </c>
      <c r="P298" s="1">
        <f>(H298*G298)*(I298/100)</f>
        <v>4800</v>
      </c>
      <c r="Q298" s="1">
        <f ca="1">J298-Q298</f>
        <v>0</v>
      </c>
    </row>
    <row r="299" spans="1:17" x14ac:dyDescent="0.25">
      <c r="A299" s="1">
        <v>1054</v>
      </c>
      <c r="B299" s="1" t="s">
        <v>80</v>
      </c>
      <c r="C299" s="1" t="s">
        <v>47</v>
      </c>
      <c r="D299" s="1" t="s">
        <v>27</v>
      </c>
      <c r="E299" s="1" t="s">
        <v>18</v>
      </c>
      <c r="F299" s="1" t="s">
        <v>19</v>
      </c>
      <c r="G299" s="1">
        <v>3</v>
      </c>
      <c r="H299" s="1">
        <v>7000</v>
      </c>
      <c r="I299" s="1">
        <v>10</v>
      </c>
      <c r="J299" s="1">
        <v>18900</v>
      </c>
      <c r="K299" s="1">
        <v>2199.89</v>
      </c>
      <c r="L299" s="1" t="str">
        <f>IF(K299&gt;=15000,"High Profit","Low Profit")</f>
        <v>Low Profit</v>
      </c>
      <c r="M299" s="1">
        <f>YEAR(B299)</f>
        <v>2025</v>
      </c>
      <c r="N299" s="1" t="str">
        <f>TEXT(B299,"mmmm")</f>
        <v>June</v>
      </c>
      <c r="O299" s="1" t="str">
        <f>IF(J299&gt;=100000,"Excellent", IF(J299&gt;=50000,"Good","Average"))</f>
        <v>Average</v>
      </c>
      <c r="P299" s="1">
        <f>(H299*G299)*(I299/100)</f>
        <v>2100</v>
      </c>
      <c r="Q299" s="1">
        <f ca="1">J299-Q299</f>
        <v>0</v>
      </c>
    </row>
    <row r="300" spans="1:17" x14ac:dyDescent="0.25">
      <c r="A300" s="1">
        <v>1369</v>
      </c>
      <c r="B300" s="1" t="s">
        <v>148</v>
      </c>
      <c r="C300" s="1" t="s">
        <v>21</v>
      </c>
      <c r="D300" s="1" t="s">
        <v>22</v>
      </c>
      <c r="E300" s="1" t="s">
        <v>18</v>
      </c>
      <c r="F300" s="1" t="s">
        <v>19</v>
      </c>
      <c r="G300" s="1">
        <v>3</v>
      </c>
      <c r="H300" s="1">
        <v>7000</v>
      </c>
      <c r="I300" s="1">
        <v>10</v>
      </c>
      <c r="J300" s="1">
        <v>18900</v>
      </c>
      <c r="K300" s="1">
        <v>3336.21</v>
      </c>
      <c r="L300" s="1" t="str">
        <f>IF(K300&gt;=15000,"High Profit","Low Profit")</f>
        <v>Low Profit</v>
      </c>
      <c r="M300" s="1">
        <f>YEAR(B300)</f>
        <v>2025</v>
      </c>
      <c r="N300" s="1" t="str">
        <f>TEXT(B300,"mmmm")</f>
        <v>January</v>
      </c>
      <c r="O300" s="1" t="str">
        <f>IF(J300&gt;=100000,"Excellent", IF(J300&gt;=50000,"Good","Average"))</f>
        <v>Average</v>
      </c>
      <c r="P300" s="1">
        <f>(H300*G300)*(I300/100)</f>
        <v>2100</v>
      </c>
      <c r="Q300" s="1">
        <f ca="1">J300-Q300</f>
        <v>0</v>
      </c>
    </row>
    <row r="301" spans="1:17" x14ac:dyDescent="0.25">
      <c r="A301" s="1">
        <v>1430</v>
      </c>
      <c r="B301" s="1" t="s">
        <v>105</v>
      </c>
      <c r="C301" s="1" t="s">
        <v>21</v>
      </c>
      <c r="D301" s="1" t="s">
        <v>27</v>
      </c>
      <c r="E301" s="1" t="s">
        <v>18</v>
      </c>
      <c r="F301" s="1" t="s">
        <v>19</v>
      </c>
      <c r="G301" s="1">
        <v>3</v>
      </c>
      <c r="H301" s="1">
        <v>7000</v>
      </c>
      <c r="I301" s="1">
        <v>10</v>
      </c>
      <c r="J301" s="1">
        <v>18900</v>
      </c>
      <c r="K301" s="1">
        <v>2718.18</v>
      </c>
      <c r="L301" s="1" t="str">
        <f>IF(K301&gt;=15000,"High Profit","Low Profit")</f>
        <v>Low Profit</v>
      </c>
      <c r="M301" s="1">
        <f>YEAR(B301)</f>
        <v>2025</v>
      </c>
      <c r="N301" s="1" t="str">
        <f>TEXT(B301,"mmmm")</f>
        <v>January</v>
      </c>
      <c r="O301" s="1" t="str">
        <f>IF(J301&gt;=100000,"Excellent", IF(J301&gt;=50000,"Good","Average"))</f>
        <v>Average</v>
      </c>
      <c r="P301" s="1">
        <f>(H301*G301)*(I301/100)</f>
        <v>2100</v>
      </c>
      <c r="Q301" s="1">
        <f ca="1">J301-Q301</f>
        <v>0</v>
      </c>
    </row>
    <row r="302" spans="1:17" x14ac:dyDescent="0.25">
      <c r="A302" s="1">
        <v>1463</v>
      </c>
      <c r="B302" s="1" t="s">
        <v>297</v>
      </c>
      <c r="C302" s="1" t="s">
        <v>45</v>
      </c>
      <c r="D302" s="1" t="s">
        <v>13</v>
      </c>
      <c r="E302" s="1" t="s">
        <v>18</v>
      </c>
      <c r="F302" s="1" t="s">
        <v>19</v>
      </c>
      <c r="G302" s="1">
        <v>3</v>
      </c>
      <c r="H302" s="1">
        <v>7000</v>
      </c>
      <c r="I302" s="1">
        <v>10</v>
      </c>
      <c r="J302" s="1">
        <v>18900</v>
      </c>
      <c r="K302" s="1">
        <v>2247.9499999999998</v>
      </c>
      <c r="L302" s="1" t="str">
        <f>IF(K302&gt;=15000,"High Profit","Low Profit")</f>
        <v>Low Profit</v>
      </c>
      <c r="M302" s="1">
        <f>YEAR(B302)</f>
        <v>2026</v>
      </c>
      <c r="N302" s="1" t="str">
        <f>TEXT(B302,"mmmm")</f>
        <v>March</v>
      </c>
      <c r="O302" s="1" t="str">
        <f>IF(J302&gt;=100000,"Excellent", IF(J302&gt;=50000,"Good","Average"))</f>
        <v>Average</v>
      </c>
      <c r="P302" s="1">
        <f>(H302*G302)*(I302/100)</f>
        <v>2100</v>
      </c>
      <c r="Q302" s="1">
        <f ca="1">J302-Q302</f>
        <v>0</v>
      </c>
    </row>
    <row r="303" spans="1:17" x14ac:dyDescent="0.25">
      <c r="A303" s="1">
        <v>1317</v>
      </c>
      <c r="B303" s="1" t="s">
        <v>267</v>
      </c>
      <c r="C303" s="1" t="s">
        <v>26</v>
      </c>
      <c r="D303" s="1" t="s">
        <v>27</v>
      </c>
      <c r="E303" s="1" t="s">
        <v>43</v>
      </c>
      <c r="F303" s="1" t="s">
        <v>24</v>
      </c>
      <c r="G303" s="1">
        <v>2</v>
      </c>
      <c r="H303" s="1">
        <v>9000</v>
      </c>
      <c r="I303" s="1">
        <v>0</v>
      </c>
      <c r="J303" s="1">
        <v>18000</v>
      </c>
      <c r="K303" s="1">
        <v>4389.66</v>
      </c>
      <c r="L303" s="1" t="str">
        <f>IF(K303&gt;=15000,"High Profit","Low Profit")</f>
        <v>Low Profit</v>
      </c>
      <c r="M303" s="1">
        <f>YEAR(B303)</f>
        <v>2025</v>
      </c>
      <c r="N303" s="1" t="str">
        <f>TEXT(B303,"mmmm")</f>
        <v>February</v>
      </c>
      <c r="O303" s="1" t="str">
        <f>IF(J303&gt;=100000,"Excellent", IF(J303&gt;=50000,"Good","Average"))</f>
        <v>Average</v>
      </c>
      <c r="P303" s="1">
        <f>(H303*G303)*(I303/100)</f>
        <v>0</v>
      </c>
      <c r="Q303" s="1">
        <f ca="1">J303-Q303</f>
        <v>0</v>
      </c>
    </row>
    <row r="304" spans="1:17" x14ac:dyDescent="0.25">
      <c r="A304" s="1">
        <v>1046</v>
      </c>
      <c r="B304" s="1" t="s">
        <v>73</v>
      </c>
      <c r="C304" s="1" t="s">
        <v>36</v>
      </c>
      <c r="D304" s="1" t="s">
        <v>22</v>
      </c>
      <c r="E304" s="1" t="s">
        <v>18</v>
      </c>
      <c r="F304" s="1" t="s">
        <v>19</v>
      </c>
      <c r="G304" s="1">
        <v>3</v>
      </c>
      <c r="H304" s="1">
        <v>7000</v>
      </c>
      <c r="I304" s="1">
        <v>15</v>
      </c>
      <c r="J304" s="1">
        <v>17850</v>
      </c>
      <c r="K304" s="1">
        <v>3970.14</v>
      </c>
      <c r="L304" s="1" t="str">
        <f>IF(K304&gt;=15000,"High Profit","Low Profit")</f>
        <v>Low Profit</v>
      </c>
      <c r="M304" s="1">
        <f>YEAR(B304)</f>
        <v>2026</v>
      </c>
      <c r="N304" s="1" t="str">
        <f>TEXT(B304,"mmmm")</f>
        <v>May</v>
      </c>
      <c r="O304" s="1" t="str">
        <f>IF(J304&gt;=100000,"Excellent", IF(J304&gt;=50000,"Good","Average"))</f>
        <v>Average</v>
      </c>
      <c r="P304" s="1">
        <f>(H304*G304)*(I304/100)</f>
        <v>3150</v>
      </c>
      <c r="Q304" s="1">
        <f ca="1">J304-Q304</f>
        <v>0</v>
      </c>
    </row>
    <row r="305" spans="1:17" x14ac:dyDescent="0.25">
      <c r="A305" s="1">
        <v>1077</v>
      </c>
      <c r="B305" s="1" t="s">
        <v>102</v>
      </c>
      <c r="C305" s="1" t="s">
        <v>41</v>
      </c>
      <c r="D305" s="1" t="s">
        <v>13</v>
      </c>
      <c r="E305" s="1" t="s">
        <v>18</v>
      </c>
      <c r="F305" s="1" t="s">
        <v>19</v>
      </c>
      <c r="G305" s="1">
        <v>3</v>
      </c>
      <c r="H305" s="1">
        <v>7000</v>
      </c>
      <c r="I305" s="1">
        <v>15</v>
      </c>
      <c r="J305" s="1">
        <v>17850</v>
      </c>
      <c r="K305" s="1">
        <v>4379.87</v>
      </c>
      <c r="L305" s="1" t="str">
        <f>IF(K305&gt;=15000,"High Profit","Low Profit")</f>
        <v>Low Profit</v>
      </c>
      <c r="M305" s="1">
        <f>YEAR(B305)</f>
        <v>2025</v>
      </c>
      <c r="N305" s="1" t="str">
        <f>TEXT(B305,"mmmm")</f>
        <v>October</v>
      </c>
      <c r="O305" s="1" t="str">
        <f>IF(J305&gt;=100000,"Excellent", IF(J305&gt;=50000,"Good","Average"))</f>
        <v>Average</v>
      </c>
      <c r="P305" s="1">
        <f>(H305*G305)*(I305/100)</f>
        <v>3150</v>
      </c>
      <c r="Q305" s="1">
        <f ca="1">J305-Q305</f>
        <v>0</v>
      </c>
    </row>
    <row r="306" spans="1:17" x14ac:dyDescent="0.25">
      <c r="A306" s="1">
        <v>1368</v>
      </c>
      <c r="B306" s="1" t="s">
        <v>296</v>
      </c>
      <c r="C306" s="1" t="s">
        <v>41</v>
      </c>
      <c r="D306" s="1" t="s">
        <v>17</v>
      </c>
      <c r="E306" s="1" t="s">
        <v>18</v>
      </c>
      <c r="F306" s="1" t="s">
        <v>19</v>
      </c>
      <c r="G306" s="1">
        <v>3</v>
      </c>
      <c r="H306" s="1">
        <v>7000</v>
      </c>
      <c r="I306" s="1">
        <v>15</v>
      </c>
      <c r="J306" s="1">
        <v>17850</v>
      </c>
      <c r="K306" s="1">
        <v>2908.43</v>
      </c>
      <c r="L306" s="1" t="str">
        <f>IF(K306&gt;=15000,"High Profit","Low Profit")</f>
        <v>Low Profit</v>
      </c>
      <c r="M306" s="1">
        <f>YEAR(B306)</f>
        <v>2025</v>
      </c>
      <c r="N306" s="1" t="str">
        <f>TEXT(B306,"mmmm")</f>
        <v>July</v>
      </c>
      <c r="O306" s="1" t="str">
        <f>IF(J306&gt;=100000,"Excellent", IF(J306&gt;=50000,"Good","Average"))</f>
        <v>Average</v>
      </c>
      <c r="P306" s="1">
        <f>(H306*G306)*(I306/100)</f>
        <v>3150</v>
      </c>
      <c r="Q306" s="1">
        <f ca="1">J306-Q306</f>
        <v>0</v>
      </c>
    </row>
    <row r="307" spans="1:17" x14ac:dyDescent="0.25">
      <c r="A307" s="1">
        <v>1477</v>
      </c>
      <c r="B307" s="1" t="s">
        <v>318</v>
      </c>
      <c r="C307" s="1" t="s">
        <v>45</v>
      </c>
      <c r="D307" s="1" t="s">
        <v>13</v>
      </c>
      <c r="E307" s="1" t="s">
        <v>18</v>
      </c>
      <c r="F307" s="1" t="s">
        <v>19</v>
      </c>
      <c r="G307" s="1">
        <v>3</v>
      </c>
      <c r="H307" s="1">
        <v>7000</v>
      </c>
      <c r="I307" s="1">
        <v>15</v>
      </c>
      <c r="J307" s="1">
        <v>17850</v>
      </c>
      <c r="K307" s="1">
        <v>2686.95</v>
      </c>
      <c r="L307" s="1" t="str">
        <f>IF(K307&gt;=15000,"High Profit","Low Profit")</f>
        <v>Low Profit</v>
      </c>
      <c r="M307" s="1">
        <f>YEAR(B307)</f>
        <v>2025</v>
      </c>
      <c r="N307" s="1" t="str">
        <f>TEXT(B307,"mmmm")</f>
        <v>November</v>
      </c>
      <c r="O307" s="1" t="str">
        <f>IF(J307&gt;=100000,"Excellent", IF(J307&gt;=50000,"Good","Average"))</f>
        <v>Average</v>
      </c>
      <c r="P307" s="1">
        <f>(H307*G307)*(I307/100)</f>
        <v>3150</v>
      </c>
      <c r="Q307" s="1">
        <f ca="1">J307-Q307</f>
        <v>0</v>
      </c>
    </row>
    <row r="308" spans="1:17" x14ac:dyDescent="0.25">
      <c r="A308" s="1">
        <v>1407</v>
      </c>
      <c r="B308" s="1" t="s">
        <v>113</v>
      </c>
      <c r="C308" s="1" t="s">
        <v>39</v>
      </c>
      <c r="D308" s="1" t="s">
        <v>17</v>
      </c>
      <c r="E308" s="1" t="s">
        <v>43</v>
      </c>
      <c r="F308" s="1" t="s">
        <v>24</v>
      </c>
      <c r="G308" s="1">
        <v>2</v>
      </c>
      <c r="H308" s="1">
        <v>9000</v>
      </c>
      <c r="I308" s="1">
        <v>5</v>
      </c>
      <c r="J308" s="1">
        <v>17100</v>
      </c>
      <c r="K308" s="1">
        <v>3861.37</v>
      </c>
      <c r="L308" s="1" t="str">
        <f>IF(K308&gt;=15000,"High Profit","Low Profit")</f>
        <v>Low Profit</v>
      </c>
      <c r="M308" s="1">
        <f>YEAR(B308)</f>
        <v>2025</v>
      </c>
      <c r="N308" s="1" t="str">
        <f>TEXT(B308,"mmmm")</f>
        <v>July</v>
      </c>
      <c r="O308" s="1" t="str">
        <f>IF(J308&gt;=100000,"Excellent", IF(J308&gt;=50000,"Good","Average"))</f>
        <v>Average</v>
      </c>
      <c r="P308" s="1">
        <f>(H308*G308)*(I308/100)</f>
        <v>900</v>
      </c>
      <c r="Q308" s="1">
        <f ca="1">J308-Q308</f>
        <v>0</v>
      </c>
    </row>
    <row r="309" spans="1:17" x14ac:dyDescent="0.25">
      <c r="A309" s="1">
        <v>1207</v>
      </c>
      <c r="B309" s="1" t="s">
        <v>25</v>
      </c>
      <c r="C309" s="1" t="s">
        <v>12</v>
      </c>
      <c r="D309" s="1" t="s">
        <v>13</v>
      </c>
      <c r="E309" s="1" t="s">
        <v>43</v>
      </c>
      <c r="F309" s="1" t="s">
        <v>24</v>
      </c>
      <c r="G309" s="1">
        <v>2</v>
      </c>
      <c r="H309" s="1">
        <v>9000</v>
      </c>
      <c r="I309" s="1">
        <v>15</v>
      </c>
      <c r="J309" s="1">
        <v>15300</v>
      </c>
      <c r="K309" s="1">
        <v>1841.95</v>
      </c>
      <c r="L309" s="1" t="str">
        <f>IF(K309&gt;=15000,"High Profit","Low Profit")</f>
        <v>Low Profit</v>
      </c>
      <c r="M309" s="1">
        <f>YEAR(B309)</f>
        <v>2026</v>
      </c>
      <c r="N309" s="1" t="str">
        <f>TEXT(B309,"mmmm")</f>
        <v>June</v>
      </c>
      <c r="O309" s="1" t="str">
        <f>IF(J309&gt;=100000,"Excellent", IF(J309&gt;=50000,"Good","Average"))</f>
        <v>Average</v>
      </c>
      <c r="P309" s="1">
        <f>(H309*G309)*(I309/100)</f>
        <v>2700</v>
      </c>
      <c r="Q309" s="1">
        <f ca="1">J309-Q309</f>
        <v>0</v>
      </c>
    </row>
    <row r="310" spans="1:17" x14ac:dyDescent="0.25">
      <c r="A310" s="1">
        <v>1229</v>
      </c>
      <c r="B310" s="1" t="s">
        <v>219</v>
      </c>
      <c r="C310" s="1" t="s">
        <v>30</v>
      </c>
      <c r="D310" s="1" t="s">
        <v>13</v>
      </c>
      <c r="E310" s="1" t="s">
        <v>43</v>
      </c>
      <c r="F310" s="1" t="s">
        <v>24</v>
      </c>
      <c r="G310" s="1">
        <v>2</v>
      </c>
      <c r="H310" s="1">
        <v>9000</v>
      </c>
      <c r="I310" s="1">
        <v>15</v>
      </c>
      <c r="J310" s="1">
        <v>15300</v>
      </c>
      <c r="K310" s="1">
        <v>3164.75</v>
      </c>
      <c r="L310" s="1" t="str">
        <f>IF(K310&gt;=15000,"High Profit","Low Profit")</f>
        <v>Low Profit</v>
      </c>
      <c r="M310" s="1">
        <f>YEAR(B310)</f>
        <v>2025</v>
      </c>
      <c r="N310" s="1" t="str">
        <f>TEXT(B310,"mmmm")</f>
        <v>February</v>
      </c>
      <c r="O310" s="1" t="str">
        <f>IF(J310&gt;=100000,"Excellent", IF(J310&gt;=50000,"Good","Average"))</f>
        <v>Average</v>
      </c>
      <c r="P310" s="1">
        <f>(H310*G310)*(I310/100)</f>
        <v>2700</v>
      </c>
      <c r="Q310" s="1">
        <f ca="1">J310-Q310</f>
        <v>0</v>
      </c>
    </row>
    <row r="311" spans="1:17" x14ac:dyDescent="0.25">
      <c r="A311" s="1">
        <v>1408</v>
      </c>
      <c r="B311" s="1" t="s">
        <v>131</v>
      </c>
      <c r="C311" s="1" t="s">
        <v>26</v>
      </c>
      <c r="D311" s="1" t="s">
        <v>22</v>
      </c>
      <c r="E311" s="1" t="s">
        <v>14</v>
      </c>
      <c r="F311" s="1" t="s">
        <v>15</v>
      </c>
      <c r="G311" s="1">
        <v>10</v>
      </c>
      <c r="H311" s="1">
        <v>1500</v>
      </c>
      <c r="I311" s="1">
        <v>0</v>
      </c>
      <c r="J311" s="1">
        <v>15000</v>
      </c>
      <c r="K311" s="1">
        <v>2867.51</v>
      </c>
      <c r="L311" s="1" t="str">
        <f>IF(K311&gt;=15000,"High Profit","Low Profit")</f>
        <v>Low Profit</v>
      </c>
      <c r="M311" s="1">
        <f>YEAR(B311)</f>
        <v>2026</v>
      </c>
      <c r="N311" s="1" t="str">
        <f>TEXT(B311,"mmmm")</f>
        <v>June</v>
      </c>
      <c r="O311" s="1" t="str">
        <f>IF(J311&gt;=100000,"Excellent", IF(J311&gt;=50000,"Good","Average"))</f>
        <v>Average</v>
      </c>
      <c r="P311" s="1">
        <f>(H311*G311)*(I311/100)</f>
        <v>0</v>
      </c>
      <c r="Q311" s="1">
        <f ca="1">J311-Q311</f>
        <v>0</v>
      </c>
    </row>
    <row r="312" spans="1:17" x14ac:dyDescent="0.25">
      <c r="A312" s="1">
        <v>1060</v>
      </c>
      <c r="B312" s="1" t="s">
        <v>86</v>
      </c>
      <c r="C312" s="1" t="s">
        <v>21</v>
      </c>
      <c r="D312" s="1" t="s">
        <v>17</v>
      </c>
      <c r="E312" s="1" t="s">
        <v>43</v>
      </c>
      <c r="F312" s="1" t="s">
        <v>24</v>
      </c>
      <c r="G312" s="1">
        <v>2</v>
      </c>
      <c r="H312" s="1">
        <v>9000</v>
      </c>
      <c r="I312" s="1">
        <v>20</v>
      </c>
      <c r="J312" s="1">
        <v>14400</v>
      </c>
      <c r="K312" s="1">
        <v>2294.81</v>
      </c>
      <c r="L312" s="1" t="str">
        <f>IF(K312&gt;=15000,"High Profit","Low Profit")</f>
        <v>Low Profit</v>
      </c>
      <c r="M312" s="1">
        <f>YEAR(B312)</f>
        <v>2025</v>
      </c>
      <c r="N312" s="1" t="str">
        <f>TEXT(B312,"mmmm")</f>
        <v>December</v>
      </c>
      <c r="O312" s="1" t="str">
        <f>IF(J312&gt;=100000,"Excellent", IF(J312&gt;=50000,"Good","Average"))</f>
        <v>Average</v>
      </c>
      <c r="P312" s="1">
        <f>(H312*G312)*(I312/100)</f>
        <v>3600</v>
      </c>
      <c r="Q312" s="1">
        <f ca="1">J312-Q312</f>
        <v>0</v>
      </c>
    </row>
    <row r="313" spans="1:17" x14ac:dyDescent="0.25">
      <c r="A313" s="1">
        <v>1264</v>
      </c>
      <c r="B313" s="1" t="s">
        <v>139</v>
      </c>
      <c r="C313" s="1" t="s">
        <v>45</v>
      </c>
      <c r="D313" s="1" t="s">
        <v>13</v>
      </c>
      <c r="E313" s="1" t="s">
        <v>14</v>
      </c>
      <c r="F313" s="1" t="s">
        <v>15</v>
      </c>
      <c r="G313" s="1">
        <v>10</v>
      </c>
      <c r="H313" s="1">
        <v>1500</v>
      </c>
      <c r="I313" s="1">
        <v>5</v>
      </c>
      <c r="J313" s="1">
        <v>14250</v>
      </c>
      <c r="K313" s="1">
        <v>2409.37</v>
      </c>
      <c r="L313" s="1" t="str">
        <f>IF(K313&gt;=15000,"High Profit","Low Profit")</f>
        <v>Low Profit</v>
      </c>
      <c r="M313" s="1">
        <f>YEAR(B313)</f>
        <v>2026</v>
      </c>
      <c r="N313" s="1" t="str">
        <f>TEXT(B313,"mmmm")</f>
        <v>March</v>
      </c>
      <c r="O313" s="1" t="str">
        <f>IF(J313&gt;=100000,"Excellent", IF(J313&gt;=50000,"Good","Average"))</f>
        <v>Average</v>
      </c>
      <c r="P313" s="1">
        <f>(H313*G313)*(I313/100)</f>
        <v>750</v>
      </c>
      <c r="Q313" s="1">
        <f ca="1">J313-Q313</f>
        <v>0</v>
      </c>
    </row>
    <row r="314" spans="1:17" x14ac:dyDescent="0.25">
      <c r="A314" s="1">
        <v>1339</v>
      </c>
      <c r="B314" s="1" t="s">
        <v>281</v>
      </c>
      <c r="C314" s="1" t="s">
        <v>45</v>
      </c>
      <c r="D314" s="1" t="s">
        <v>27</v>
      </c>
      <c r="E314" s="1" t="s">
        <v>14</v>
      </c>
      <c r="F314" s="1" t="s">
        <v>15</v>
      </c>
      <c r="G314" s="1">
        <v>10</v>
      </c>
      <c r="H314" s="1">
        <v>1500</v>
      </c>
      <c r="I314" s="1">
        <v>5</v>
      </c>
      <c r="J314" s="1">
        <v>14250</v>
      </c>
      <c r="K314" s="1">
        <v>1946.89</v>
      </c>
      <c r="L314" s="1" t="str">
        <f>IF(K314&gt;=15000,"High Profit","Low Profit")</f>
        <v>Low Profit</v>
      </c>
      <c r="M314" s="1">
        <f>YEAR(B314)</f>
        <v>2025</v>
      </c>
      <c r="N314" s="1" t="str">
        <f>TEXT(B314,"mmmm")</f>
        <v>April</v>
      </c>
      <c r="O314" s="1" t="str">
        <f>IF(J314&gt;=100000,"Excellent", IF(J314&gt;=50000,"Good","Average"))</f>
        <v>Average</v>
      </c>
      <c r="P314" s="1">
        <f>(H314*G314)*(I314/100)</f>
        <v>750</v>
      </c>
      <c r="Q314" s="1">
        <f ca="1">J314-Q314</f>
        <v>0</v>
      </c>
    </row>
    <row r="315" spans="1:17" x14ac:dyDescent="0.25">
      <c r="A315" s="1">
        <v>1439</v>
      </c>
      <c r="B315" s="1" t="s">
        <v>235</v>
      </c>
      <c r="C315" s="1" t="s">
        <v>36</v>
      </c>
      <c r="D315" s="1" t="s">
        <v>27</v>
      </c>
      <c r="E315" s="1" t="s">
        <v>14</v>
      </c>
      <c r="F315" s="1" t="s">
        <v>15</v>
      </c>
      <c r="G315" s="1">
        <v>10</v>
      </c>
      <c r="H315" s="1">
        <v>1500</v>
      </c>
      <c r="I315" s="1">
        <v>5</v>
      </c>
      <c r="J315" s="1">
        <v>14250</v>
      </c>
      <c r="K315" s="1">
        <v>3069.37</v>
      </c>
      <c r="L315" s="1" t="str">
        <f>IF(K315&gt;=15000,"High Profit","Low Profit")</f>
        <v>Low Profit</v>
      </c>
      <c r="M315" s="1">
        <f>YEAR(B315)</f>
        <v>2025</v>
      </c>
      <c r="N315" s="1" t="str">
        <f>TEXT(B315,"mmmm")</f>
        <v>February</v>
      </c>
      <c r="O315" s="1" t="str">
        <f>IF(J315&gt;=100000,"Excellent", IF(J315&gt;=50000,"Good","Average"))</f>
        <v>Average</v>
      </c>
      <c r="P315" s="1">
        <f>(H315*G315)*(I315/100)</f>
        <v>750</v>
      </c>
      <c r="Q315" s="1">
        <f ca="1">J315-Q315</f>
        <v>0</v>
      </c>
    </row>
    <row r="316" spans="1:17" x14ac:dyDescent="0.25">
      <c r="A316" s="1">
        <v>1247</v>
      </c>
      <c r="B316" s="1" t="s">
        <v>231</v>
      </c>
      <c r="C316" s="1" t="s">
        <v>45</v>
      </c>
      <c r="D316" s="1" t="s">
        <v>27</v>
      </c>
      <c r="E316" s="1" t="s">
        <v>18</v>
      </c>
      <c r="F316" s="1" t="s">
        <v>19</v>
      </c>
      <c r="G316" s="1">
        <v>2</v>
      </c>
      <c r="H316" s="1">
        <v>7000</v>
      </c>
      <c r="I316" s="1">
        <v>0</v>
      </c>
      <c r="J316" s="1">
        <v>14000</v>
      </c>
      <c r="K316" s="1">
        <v>1680.55</v>
      </c>
      <c r="L316" s="1" t="str">
        <f>IF(K316&gt;=15000,"High Profit","Low Profit")</f>
        <v>Low Profit</v>
      </c>
      <c r="M316" s="1">
        <f>YEAR(B316)</f>
        <v>2026</v>
      </c>
      <c r="N316" s="1" t="str">
        <f>TEXT(B316,"mmmm")</f>
        <v>March</v>
      </c>
      <c r="O316" s="1" t="str">
        <f>IF(J316&gt;=100000,"Excellent", IF(J316&gt;=50000,"Good","Average"))</f>
        <v>Average</v>
      </c>
      <c r="P316" s="1">
        <f>(H316*G316)*(I316/100)</f>
        <v>0</v>
      </c>
      <c r="Q316" s="1">
        <f ca="1">J316-Q316</f>
        <v>0</v>
      </c>
    </row>
    <row r="317" spans="1:17" x14ac:dyDescent="0.25">
      <c r="A317" s="1">
        <v>1114</v>
      </c>
      <c r="B317" s="1" t="s">
        <v>137</v>
      </c>
      <c r="C317" s="1" t="s">
        <v>45</v>
      </c>
      <c r="D317" s="1" t="s">
        <v>13</v>
      </c>
      <c r="E317" s="1" t="s">
        <v>18</v>
      </c>
      <c r="F317" s="1" t="s">
        <v>19</v>
      </c>
      <c r="G317" s="1">
        <v>2</v>
      </c>
      <c r="H317" s="1">
        <v>7000</v>
      </c>
      <c r="I317" s="1">
        <v>5</v>
      </c>
      <c r="J317" s="1">
        <v>13300</v>
      </c>
      <c r="K317" s="1">
        <v>1994.71</v>
      </c>
      <c r="L317" s="1" t="str">
        <f>IF(K317&gt;=15000,"High Profit","Low Profit")</f>
        <v>Low Profit</v>
      </c>
      <c r="M317" s="1">
        <f>YEAR(B317)</f>
        <v>2026</v>
      </c>
      <c r="N317" s="1" t="str">
        <f>TEXT(B317,"mmmm")</f>
        <v>April</v>
      </c>
      <c r="O317" s="1" t="str">
        <f>IF(J317&gt;=100000,"Excellent", IF(J317&gt;=50000,"Good","Average"))</f>
        <v>Average</v>
      </c>
      <c r="P317" s="1">
        <f>(H317*G317)*(I317/100)</f>
        <v>700</v>
      </c>
      <c r="Q317" s="1">
        <f ca="1">J317-Q317</f>
        <v>0</v>
      </c>
    </row>
    <row r="318" spans="1:17" x14ac:dyDescent="0.25">
      <c r="A318" s="1">
        <v>1425</v>
      </c>
      <c r="B318" s="1" t="s">
        <v>228</v>
      </c>
      <c r="C318" s="1" t="s">
        <v>30</v>
      </c>
      <c r="D318" s="1" t="s">
        <v>13</v>
      </c>
      <c r="E318" s="1" t="s">
        <v>18</v>
      </c>
      <c r="F318" s="1" t="s">
        <v>19</v>
      </c>
      <c r="G318" s="1">
        <v>2</v>
      </c>
      <c r="H318" s="1">
        <v>7000</v>
      </c>
      <c r="I318" s="1">
        <v>5</v>
      </c>
      <c r="J318" s="1">
        <v>13300</v>
      </c>
      <c r="K318" s="1">
        <v>2426.98</v>
      </c>
      <c r="L318" s="1" t="str">
        <f>IF(K318&gt;=15000,"High Profit","Low Profit")</f>
        <v>Low Profit</v>
      </c>
      <c r="M318" s="1">
        <f>YEAR(B318)</f>
        <v>2026</v>
      </c>
      <c r="N318" s="1" t="str">
        <f>TEXT(B318,"mmmm")</f>
        <v>January</v>
      </c>
      <c r="O318" s="1" t="str">
        <f>IF(J318&gt;=100000,"Excellent", IF(J318&gt;=50000,"Good","Average"))</f>
        <v>Average</v>
      </c>
      <c r="P318" s="1">
        <f>(H318*G318)*(I318/100)</f>
        <v>700</v>
      </c>
      <c r="Q318" s="1">
        <f ca="1">J318-Q318</f>
        <v>0</v>
      </c>
    </row>
    <row r="319" spans="1:17" x14ac:dyDescent="0.25">
      <c r="A319" s="1">
        <v>1374</v>
      </c>
      <c r="B319" s="1" t="s">
        <v>297</v>
      </c>
      <c r="C319" s="1" t="s">
        <v>12</v>
      </c>
      <c r="D319" s="1" t="s">
        <v>22</v>
      </c>
      <c r="E319" s="1" t="s">
        <v>14</v>
      </c>
      <c r="F319" s="1" t="s">
        <v>15</v>
      </c>
      <c r="G319" s="1">
        <v>9</v>
      </c>
      <c r="H319" s="1">
        <v>1500</v>
      </c>
      <c r="I319" s="1">
        <v>5</v>
      </c>
      <c r="J319" s="1">
        <v>12825</v>
      </c>
      <c r="K319" s="1">
        <v>2033.28</v>
      </c>
      <c r="L319" s="1" t="str">
        <f>IF(K319&gt;=15000,"High Profit","Low Profit")</f>
        <v>Low Profit</v>
      </c>
      <c r="M319" s="1">
        <f>YEAR(B319)</f>
        <v>2026</v>
      </c>
      <c r="N319" s="1" t="str">
        <f>TEXT(B319,"mmmm")</f>
        <v>March</v>
      </c>
      <c r="O319" s="1" t="str">
        <f>IF(J319&gt;=100000,"Excellent", IF(J319&gt;=50000,"Good","Average"))</f>
        <v>Average</v>
      </c>
      <c r="P319" s="1">
        <f>(H319*G319)*(I319/100)</f>
        <v>675</v>
      </c>
      <c r="Q319" s="1">
        <f ca="1">J319-Q319</f>
        <v>0</v>
      </c>
    </row>
    <row r="320" spans="1:17" x14ac:dyDescent="0.25">
      <c r="A320" s="1">
        <v>1496</v>
      </c>
      <c r="B320" s="1" t="s">
        <v>65</v>
      </c>
      <c r="C320" s="1" t="s">
        <v>26</v>
      </c>
      <c r="D320" s="1" t="s">
        <v>13</v>
      </c>
      <c r="E320" s="1" t="s">
        <v>14</v>
      </c>
      <c r="F320" s="1" t="s">
        <v>15</v>
      </c>
      <c r="G320" s="1">
        <v>9</v>
      </c>
      <c r="H320" s="1">
        <v>1500</v>
      </c>
      <c r="I320" s="1">
        <v>5</v>
      </c>
      <c r="J320" s="1">
        <v>12825</v>
      </c>
      <c r="K320" s="1">
        <v>2782.66</v>
      </c>
      <c r="L320" s="1" t="str">
        <f>IF(K320&gt;=15000,"High Profit","Low Profit")</f>
        <v>Low Profit</v>
      </c>
      <c r="M320" s="1">
        <f>YEAR(B320)</f>
        <v>2026</v>
      </c>
      <c r="N320" s="1" t="str">
        <f>TEXT(B320,"mmmm")</f>
        <v>April</v>
      </c>
      <c r="O320" s="1" t="str">
        <f>IF(J320&gt;=100000,"Excellent", IF(J320&gt;=50000,"Good","Average"))</f>
        <v>Average</v>
      </c>
      <c r="P320" s="1">
        <f>(H320*G320)*(I320/100)</f>
        <v>675</v>
      </c>
      <c r="Q320" s="1">
        <f ca="1">J320-Q320</f>
        <v>0</v>
      </c>
    </row>
    <row r="321" spans="1:17" x14ac:dyDescent="0.25">
      <c r="A321" s="1">
        <v>1475</v>
      </c>
      <c r="B321" s="1" t="s">
        <v>266</v>
      </c>
      <c r="C321" s="1" t="s">
        <v>32</v>
      </c>
      <c r="D321" s="1" t="s">
        <v>22</v>
      </c>
      <c r="E321" s="1" t="s">
        <v>14</v>
      </c>
      <c r="F321" s="1" t="s">
        <v>15</v>
      </c>
      <c r="G321" s="1">
        <v>10</v>
      </c>
      <c r="H321" s="1">
        <v>1500</v>
      </c>
      <c r="I321" s="1">
        <v>15</v>
      </c>
      <c r="J321" s="1">
        <v>12750</v>
      </c>
      <c r="K321" s="1">
        <v>1733.64</v>
      </c>
      <c r="L321" s="1" t="str">
        <f>IF(K321&gt;=15000,"High Profit","Low Profit")</f>
        <v>Low Profit</v>
      </c>
      <c r="M321" s="1">
        <f>YEAR(B321)</f>
        <v>2025</v>
      </c>
      <c r="N321" s="1" t="str">
        <f>TEXT(B321,"mmmm")</f>
        <v>October</v>
      </c>
      <c r="O321" s="1" t="str">
        <f>IF(J321&gt;=100000,"Excellent", IF(J321&gt;=50000,"Good","Average"))</f>
        <v>Average</v>
      </c>
      <c r="P321" s="1">
        <f>(H321*G321)*(I321/100)</f>
        <v>2250</v>
      </c>
      <c r="Q321" s="1">
        <f ca="1">J321-Q321</f>
        <v>0</v>
      </c>
    </row>
    <row r="322" spans="1:17" x14ac:dyDescent="0.25">
      <c r="A322" s="1">
        <v>1488</v>
      </c>
      <c r="B322" s="1" t="s">
        <v>343</v>
      </c>
      <c r="C322" s="1" t="s">
        <v>41</v>
      </c>
      <c r="D322" s="1" t="s">
        <v>17</v>
      </c>
      <c r="E322" s="1" t="s">
        <v>14</v>
      </c>
      <c r="F322" s="1" t="s">
        <v>15</v>
      </c>
      <c r="G322" s="1">
        <v>10</v>
      </c>
      <c r="H322" s="1">
        <v>1500</v>
      </c>
      <c r="I322" s="1">
        <v>15</v>
      </c>
      <c r="J322" s="1">
        <v>12750</v>
      </c>
      <c r="K322" s="1">
        <v>2505.62</v>
      </c>
      <c r="L322" s="1" t="str">
        <f>IF(K322&gt;=15000,"High Profit","Low Profit")</f>
        <v>Low Profit</v>
      </c>
      <c r="M322" s="1">
        <f>YEAR(B322)</f>
        <v>2025</v>
      </c>
      <c r="N322" s="1" t="str">
        <f>TEXT(B322,"mmmm")</f>
        <v>April</v>
      </c>
      <c r="O322" s="1" t="str">
        <f>IF(J322&gt;=100000,"Excellent", IF(J322&gt;=50000,"Good","Average"))</f>
        <v>Average</v>
      </c>
      <c r="P322" s="1">
        <f>(H322*G322)*(I322/100)</f>
        <v>2250</v>
      </c>
      <c r="Q322" s="1">
        <f ca="1">J322-Q322</f>
        <v>0</v>
      </c>
    </row>
    <row r="323" spans="1:17" x14ac:dyDescent="0.25">
      <c r="A323" s="1">
        <v>1132</v>
      </c>
      <c r="B323" s="1" t="s">
        <v>31</v>
      </c>
      <c r="C323" s="1" t="s">
        <v>41</v>
      </c>
      <c r="D323" s="1" t="s">
        <v>27</v>
      </c>
      <c r="E323" s="1" t="s">
        <v>18</v>
      </c>
      <c r="F323" s="1" t="s">
        <v>19</v>
      </c>
      <c r="G323" s="1">
        <v>2</v>
      </c>
      <c r="H323" s="1">
        <v>7000</v>
      </c>
      <c r="I323" s="1">
        <v>10</v>
      </c>
      <c r="J323" s="1">
        <v>12600</v>
      </c>
      <c r="K323" s="1">
        <v>1324.29</v>
      </c>
      <c r="L323" s="1" t="str">
        <f>IF(K323&gt;=15000,"High Profit","Low Profit")</f>
        <v>Low Profit</v>
      </c>
      <c r="M323" s="1">
        <f>YEAR(B323)</f>
        <v>2026</v>
      </c>
      <c r="N323" s="1" t="str">
        <f>TEXT(B323,"mmmm")</f>
        <v>February</v>
      </c>
      <c r="O323" s="1" t="str">
        <f>IF(J323&gt;=100000,"Excellent", IF(J323&gt;=50000,"Good","Average"))</f>
        <v>Average</v>
      </c>
      <c r="P323" s="1">
        <f>(H323*G323)*(I323/100)</f>
        <v>1400</v>
      </c>
      <c r="Q323" s="1">
        <f ca="1">J323-Q323</f>
        <v>0</v>
      </c>
    </row>
    <row r="324" spans="1:17" x14ac:dyDescent="0.25">
      <c r="A324" s="1">
        <v>1042</v>
      </c>
      <c r="B324" s="1" t="s">
        <v>69</v>
      </c>
      <c r="C324" s="1" t="s">
        <v>47</v>
      </c>
      <c r="D324" s="1" t="s">
        <v>17</v>
      </c>
      <c r="E324" s="1" t="s">
        <v>14</v>
      </c>
      <c r="F324" s="1" t="s">
        <v>15</v>
      </c>
      <c r="G324" s="1">
        <v>9</v>
      </c>
      <c r="H324" s="1">
        <v>1500</v>
      </c>
      <c r="I324" s="1">
        <v>10</v>
      </c>
      <c r="J324" s="1">
        <v>12150</v>
      </c>
      <c r="K324" s="1">
        <v>2733.15</v>
      </c>
      <c r="L324" s="1" t="str">
        <f>IF(K324&gt;=15000,"High Profit","Low Profit")</f>
        <v>Low Profit</v>
      </c>
      <c r="M324" s="1">
        <f>YEAR(B324)</f>
        <v>2025</v>
      </c>
      <c r="N324" s="1" t="str">
        <f>TEXT(B324,"mmmm")</f>
        <v>June</v>
      </c>
      <c r="O324" s="1" t="str">
        <f>IF(J324&gt;=100000,"Excellent", IF(J324&gt;=50000,"Good","Average"))</f>
        <v>Average</v>
      </c>
      <c r="P324" s="1">
        <f>(H324*G324)*(I324/100)</f>
        <v>1350</v>
      </c>
      <c r="Q324" s="1">
        <f ca="1">J324-Q324</f>
        <v>0</v>
      </c>
    </row>
    <row r="325" spans="1:17" x14ac:dyDescent="0.25">
      <c r="A325" s="1">
        <v>1108</v>
      </c>
      <c r="B325" s="1" t="s">
        <v>131</v>
      </c>
      <c r="C325" s="1" t="s">
        <v>41</v>
      </c>
      <c r="D325" s="1" t="s">
        <v>27</v>
      </c>
      <c r="E325" s="1" t="s">
        <v>14</v>
      </c>
      <c r="F325" s="1" t="s">
        <v>15</v>
      </c>
      <c r="G325" s="1">
        <v>9</v>
      </c>
      <c r="H325" s="1">
        <v>1500</v>
      </c>
      <c r="I325" s="1">
        <v>10</v>
      </c>
      <c r="J325" s="1">
        <v>12150</v>
      </c>
      <c r="K325" s="1">
        <v>2744.58</v>
      </c>
      <c r="L325" s="1" t="str">
        <f>IF(K325&gt;=15000,"High Profit","Low Profit")</f>
        <v>Low Profit</v>
      </c>
      <c r="M325" s="1">
        <f>YEAR(B325)</f>
        <v>2026</v>
      </c>
      <c r="N325" s="1" t="str">
        <f>TEXT(B325,"mmmm")</f>
        <v>June</v>
      </c>
      <c r="O325" s="1" t="str">
        <f>IF(J325&gt;=100000,"Excellent", IF(J325&gt;=50000,"Good","Average"))</f>
        <v>Average</v>
      </c>
      <c r="P325" s="1">
        <f>(H325*G325)*(I325/100)</f>
        <v>1350</v>
      </c>
      <c r="Q325" s="1">
        <f ca="1">J325-Q325</f>
        <v>0</v>
      </c>
    </row>
    <row r="326" spans="1:17" x14ac:dyDescent="0.25">
      <c r="A326" s="1">
        <v>1043</v>
      </c>
      <c r="B326" s="1" t="s">
        <v>70</v>
      </c>
      <c r="C326" s="1" t="s">
        <v>26</v>
      </c>
      <c r="D326" s="1" t="s">
        <v>17</v>
      </c>
      <c r="E326" s="1" t="s">
        <v>14</v>
      </c>
      <c r="F326" s="1" t="s">
        <v>15</v>
      </c>
      <c r="G326" s="1">
        <v>10</v>
      </c>
      <c r="H326" s="1">
        <v>1500</v>
      </c>
      <c r="I326" s="1">
        <v>20</v>
      </c>
      <c r="J326" s="1">
        <v>12000</v>
      </c>
      <c r="K326" s="1">
        <v>2905.41</v>
      </c>
      <c r="L326" s="1" t="str">
        <f>IF(K326&gt;=15000,"High Profit","Low Profit")</f>
        <v>Low Profit</v>
      </c>
      <c r="M326" s="1">
        <f>YEAR(B326)</f>
        <v>2025</v>
      </c>
      <c r="N326" s="1" t="str">
        <f>TEXT(B326,"mmmm")</f>
        <v>September</v>
      </c>
      <c r="O326" s="1" t="str">
        <f>IF(J326&gt;=100000,"Excellent", IF(J326&gt;=50000,"Good","Average"))</f>
        <v>Average</v>
      </c>
      <c r="P326" s="1">
        <f>(H326*G326)*(I326/100)</f>
        <v>3000</v>
      </c>
      <c r="Q326" s="1">
        <f ca="1">J326-Q326</f>
        <v>0</v>
      </c>
    </row>
    <row r="327" spans="1:17" x14ac:dyDescent="0.25">
      <c r="A327" s="1">
        <v>1157</v>
      </c>
      <c r="B327" s="1" t="s">
        <v>168</v>
      </c>
      <c r="C327" s="1" t="s">
        <v>36</v>
      </c>
      <c r="D327" s="1" t="s">
        <v>22</v>
      </c>
      <c r="E327" s="1" t="s">
        <v>14</v>
      </c>
      <c r="F327" s="1" t="s">
        <v>15</v>
      </c>
      <c r="G327" s="1">
        <v>8</v>
      </c>
      <c r="H327" s="1">
        <v>1500</v>
      </c>
      <c r="I327" s="1">
        <v>0</v>
      </c>
      <c r="J327" s="1">
        <v>12000</v>
      </c>
      <c r="K327" s="1">
        <v>1340.74</v>
      </c>
      <c r="L327" s="1" t="str">
        <f>IF(K327&gt;=15000,"High Profit","Low Profit")</f>
        <v>Low Profit</v>
      </c>
      <c r="M327" s="1">
        <f>YEAR(B327)</f>
        <v>2025</v>
      </c>
      <c r="N327" s="1" t="str">
        <f>TEXT(B327,"mmmm")</f>
        <v>April</v>
      </c>
      <c r="O327" s="1" t="str">
        <f>IF(J327&gt;=100000,"Excellent", IF(J327&gt;=50000,"Good","Average"))</f>
        <v>Average</v>
      </c>
      <c r="P327" s="1">
        <f>(H327*G327)*(I327/100)</f>
        <v>0</v>
      </c>
      <c r="Q327" s="1">
        <f ca="1">J327-Q327</f>
        <v>0</v>
      </c>
    </row>
    <row r="328" spans="1:17" x14ac:dyDescent="0.25">
      <c r="A328" s="1">
        <v>1169</v>
      </c>
      <c r="B328" s="1" t="s">
        <v>175</v>
      </c>
      <c r="C328" s="1" t="s">
        <v>45</v>
      </c>
      <c r="D328" s="1" t="s">
        <v>17</v>
      </c>
      <c r="E328" s="1" t="s">
        <v>14</v>
      </c>
      <c r="F328" s="1" t="s">
        <v>15</v>
      </c>
      <c r="G328" s="1">
        <v>10</v>
      </c>
      <c r="H328" s="1">
        <v>1500</v>
      </c>
      <c r="I328" s="1">
        <v>20</v>
      </c>
      <c r="J328" s="1">
        <v>12000</v>
      </c>
      <c r="K328" s="1">
        <v>1687.61</v>
      </c>
      <c r="L328" s="1" t="str">
        <f>IF(K328&gt;=15000,"High Profit","Low Profit")</f>
        <v>Low Profit</v>
      </c>
      <c r="M328" s="1">
        <f>YEAR(B328)</f>
        <v>2025</v>
      </c>
      <c r="N328" s="1" t="str">
        <f>TEXT(B328,"mmmm")</f>
        <v>April</v>
      </c>
      <c r="O328" s="1" t="str">
        <f>IF(J328&gt;=100000,"Excellent", IF(J328&gt;=50000,"Good","Average"))</f>
        <v>Average</v>
      </c>
      <c r="P328" s="1">
        <f>(H328*G328)*(I328/100)</f>
        <v>3000</v>
      </c>
      <c r="Q328" s="1">
        <f ca="1">J328-Q328</f>
        <v>0</v>
      </c>
    </row>
    <row r="329" spans="1:17" x14ac:dyDescent="0.25">
      <c r="A329" s="1">
        <v>1243</v>
      </c>
      <c r="B329" s="1" t="s">
        <v>227</v>
      </c>
      <c r="C329" s="1" t="s">
        <v>45</v>
      </c>
      <c r="D329" s="1" t="s">
        <v>22</v>
      </c>
      <c r="E329" s="1" t="s">
        <v>14</v>
      </c>
      <c r="F329" s="1" t="s">
        <v>15</v>
      </c>
      <c r="G329" s="1">
        <v>8</v>
      </c>
      <c r="H329" s="1">
        <v>1500</v>
      </c>
      <c r="I329" s="1">
        <v>0</v>
      </c>
      <c r="J329" s="1">
        <v>12000</v>
      </c>
      <c r="K329" s="1">
        <v>1380.43</v>
      </c>
      <c r="L329" s="1" t="str">
        <f>IF(K329&gt;=15000,"High Profit","Low Profit")</f>
        <v>Low Profit</v>
      </c>
      <c r="M329" s="1">
        <f>YEAR(B329)</f>
        <v>2025</v>
      </c>
      <c r="N329" s="1" t="str">
        <f>TEXT(B329,"mmmm")</f>
        <v>August</v>
      </c>
      <c r="O329" s="1" t="str">
        <f>IF(J329&gt;=100000,"Excellent", IF(J329&gt;=50000,"Good","Average"))</f>
        <v>Average</v>
      </c>
      <c r="P329" s="1">
        <f>(H329*G329)*(I329/100)</f>
        <v>0</v>
      </c>
      <c r="Q329" s="1">
        <f ca="1">J329-Q329</f>
        <v>0</v>
      </c>
    </row>
    <row r="330" spans="1:17" x14ac:dyDescent="0.25">
      <c r="A330" s="1">
        <v>1277</v>
      </c>
      <c r="B330" s="1" t="s">
        <v>248</v>
      </c>
      <c r="C330" s="1" t="s">
        <v>12</v>
      </c>
      <c r="D330" s="1" t="s">
        <v>22</v>
      </c>
      <c r="E330" s="1" t="s">
        <v>14</v>
      </c>
      <c r="F330" s="1" t="s">
        <v>15</v>
      </c>
      <c r="G330" s="1">
        <v>10</v>
      </c>
      <c r="H330" s="1">
        <v>1500</v>
      </c>
      <c r="I330" s="1">
        <v>20</v>
      </c>
      <c r="J330" s="1">
        <v>12000</v>
      </c>
      <c r="K330" s="1">
        <v>2976.89</v>
      </c>
      <c r="L330" s="1" t="str">
        <f>IF(K330&gt;=15000,"High Profit","Low Profit")</f>
        <v>Low Profit</v>
      </c>
      <c r="M330" s="1">
        <f>YEAR(B330)</f>
        <v>2025</v>
      </c>
      <c r="N330" s="1" t="str">
        <f>TEXT(B330,"mmmm")</f>
        <v>December</v>
      </c>
      <c r="O330" s="1" t="str">
        <f>IF(J330&gt;=100000,"Excellent", IF(J330&gt;=50000,"Good","Average"))</f>
        <v>Average</v>
      </c>
      <c r="P330" s="1">
        <f>(H330*G330)*(I330/100)</f>
        <v>3000</v>
      </c>
      <c r="Q330" s="1">
        <f ca="1">J330-Q330</f>
        <v>0</v>
      </c>
    </row>
    <row r="331" spans="1:17" x14ac:dyDescent="0.25">
      <c r="A331" s="1">
        <v>1316</v>
      </c>
      <c r="B331" s="1" t="s">
        <v>270</v>
      </c>
      <c r="C331" s="1" t="s">
        <v>47</v>
      </c>
      <c r="D331" s="1" t="s">
        <v>27</v>
      </c>
      <c r="E331" s="1" t="s">
        <v>14</v>
      </c>
      <c r="F331" s="1" t="s">
        <v>15</v>
      </c>
      <c r="G331" s="1">
        <v>8</v>
      </c>
      <c r="H331" s="1">
        <v>1500</v>
      </c>
      <c r="I331" s="1">
        <v>0</v>
      </c>
      <c r="J331" s="1">
        <v>12000</v>
      </c>
      <c r="K331" s="1">
        <v>1440.26</v>
      </c>
      <c r="L331" s="1" t="str">
        <f>IF(K331&gt;=15000,"High Profit","Low Profit")</f>
        <v>Low Profit</v>
      </c>
      <c r="M331" s="1">
        <f>YEAR(B331)</f>
        <v>2025</v>
      </c>
      <c r="N331" s="1" t="str">
        <f>TEXT(B331,"mmmm")</f>
        <v>January</v>
      </c>
      <c r="O331" s="1" t="str">
        <f>IF(J331&gt;=100000,"Excellent", IF(J331&gt;=50000,"Good","Average"))</f>
        <v>Average</v>
      </c>
      <c r="P331" s="1">
        <f>(H331*G331)*(I331/100)</f>
        <v>0</v>
      </c>
      <c r="Q331" s="1">
        <f ca="1">J331-Q331</f>
        <v>0</v>
      </c>
    </row>
    <row r="332" spans="1:17" x14ac:dyDescent="0.25">
      <c r="A332" s="1">
        <v>1355</v>
      </c>
      <c r="B332" s="1" t="s">
        <v>287</v>
      </c>
      <c r="C332" s="1" t="s">
        <v>45</v>
      </c>
      <c r="D332" s="1" t="s">
        <v>13</v>
      </c>
      <c r="E332" s="1" t="s">
        <v>14</v>
      </c>
      <c r="F332" s="1" t="s">
        <v>15</v>
      </c>
      <c r="G332" s="1">
        <v>8</v>
      </c>
      <c r="H332" s="1">
        <v>1500</v>
      </c>
      <c r="I332" s="1">
        <v>0</v>
      </c>
      <c r="J332" s="1">
        <v>12000</v>
      </c>
      <c r="K332" s="1">
        <v>1566.05</v>
      </c>
      <c r="L332" s="1" t="str">
        <f>IF(K332&gt;=15000,"High Profit","Low Profit")</f>
        <v>Low Profit</v>
      </c>
      <c r="M332" s="1">
        <f>YEAR(B332)</f>
        <v>2025</v>
      </c>
      <c r="N332" s="1" t="str">
        <f>TEXT(B332,"mmmm")</f>
        <v>May</v>
      </c>
      <c r="O332" s="1" t="str">
        <f>IF(J332&gt;=100000,"Excellent", IF(J332&gt;=50000,"Good","Average"))</f>
        <v>Average</v>
      </c>
      <c r="P332" s="1">
        <f>(H332*G332)*(I332/100)</f>
        <v>0</v>
      </c>
      <c r="Q332" s="1">
        <f ca="1">J332-Q332</f>
        <v>0</v>
      </c>
    </row>
    <row r="333" spans="1:17" x14ac:dyDescent="0.25">
      <c r="A333" s="1">
        <v>1397</v>
      </c>
      <c r="B333" s="1" t="s">
        <v>305</v>
      </c>
      <c r="C333" s="1" t="s">
        <v>41</v>
      </c>
      <c r="D333" s="1" t="s">
        <v>22</v>
      </c>
      <c r="E333" s="1" t="s">
        <v>18</v>
      </c>
      <c r="F333" s="1" t="s">
        <v>19</v>
      </c>
      <c r="G333" s="1">
        <v>2</v>
      </c>
      <c r="H333" s="1">
        <v>7000</v>
      </c>
      <c r="I333" s="1">
        <v>15</v>
      </c>
      <c r="J333" s="1">
        <v>11900</v>
      </c>
      <c r="K333" s="1">
        <v>2304.31</v>
      </c>
      <c r="L333" s="1" t="str">
        <f>IF(K333&gt;=15000,"High Profit","Low Profit")</f>
        <v>Low Profit</v>
      </c>
      <c r="M333" s="1">
        <f>YEAR(B333)</f>
        <v>2025</v>
      </c>
      <c r="N333" s="1" t="str">
        <f>TEXT(B333,"mmmm")</f>
        <v>September</v>
      </c>
      <c r="O333" s="1" t="str">
        <f>IF(J333&gt;=100000,"Excellent", IF(J333&gt;=50000,"Good","Average"))</f>
        <v>Average</v>
      </c>
      <c r="P333" s="1">
        <f>(H333*G333)*(I333/100)</f>
        <v>2100</v>
      </c>
      <c r="Q333" s="1">
        <f ca="1">J333-Q333</f>
        <v>0</v>
      </c>
    </row>
    <row r="334" spans="1:17" x14ac:dyDescent="0.25">
      <c r="A334" s="1">
        <v>1236</v>
      </c>
      <c r="B334" s="1" t="s">
        <v>223</v>
      </c>
      <c r="C334" s="1" t="s">
        <v>12</v>
      </c>
      <c r="D334" s="1" t="s">
        <v>13</v>
      </c>
      <c r="E334" s="1" t="s">
        <v>14</v>
      </c>
      <c r="F334" s="1" t="s">
        <v>15</v>
      </c>
      <c r="G334" s="1">
        <v>9</v>
      </c>
      <c r="H334" s="1">
        <v>1500</v>
      </c>
      <c r="I334" s="1">
        <v>15</v>
      </c>
      <c r="J334" s="1">
        <v>11475</v>
      </c>
      <c r="K334" s="1">
        <v>2207.94</v>
      </c>
      <c r="L334" s="1" t="str">
        <f>IF(K334&gt;=15000,"High Profit","Low Profit")</f>
        <v>Low Profit</v>
      </c>
      <c r="M334" s="1">
        <f>YEAR(B334)</f>
        <v>2025</v>
      </c>
      <c r="N334" s="1" t="str">
        <f>TEXT(B334,"mmmm")</f>
        <v>June</v>
      </c>
      <c r="O334" s="1" t="str">
        <f>IF(J334&gt;=100000,"Excellent", IF(J334&gt;=50000,"Good","Average"))</f>
        <v>Average</v>
      </c>
      <c r="P334" s="1">
        <f>(H334*G334)*(I334/100)</f>
        <v>2025</v>
      </c>
      <c r="Q334" s="1">
        <f ca="1">J334-Q334</f>
        <v>0</v>
      </c>
    </row>
    <row r="335" spans="1:17" x14ac:dyDescent="0.25">
      <c r="A335" s="1">
        <v>1111</v>
      </c>
      <c r="B335" s="1" t="s">
        <v>134</v>
      </c>
      <c r="C335" s="1" t="s">
        <v>41</v>
      </c>
      <c r="D335" s="1" t="s">
        <v>27</v>
      </c>
      <c r="E335" s="1" t="s">
        <v>23</v>
      </c>
      <c r="F335" s="1" t="s">
        <v>24</v>
      </c>
      <c r="G335" s="1">
        <v>1</v>
      </c>
      <c r="H335" s="1">
        <v>12000</v>
      </c>
      <c r="I335" s="1">
        <v>5</v>
      </c>
      <c r="J335" s="1">
        <v>11400</v>
      </c>
      <c r="K335" s="1">
        <v>2569.56</v>
      </c>
      <c r="L335" s="1" t="str">
        <f>IF(K335&gt;=15000,"High Profit","Low Profit")</f>
        <v>Low Profit</v>
      </c>
      <c r="M335" s="1">
        <f>YEAR(B335)</f>
        <v>2025</v>
      </c>
      <c r="N335" s="1" t="str">
        <f>TEXT(B335,"mmmm")</f>
        <v>March</v>
      </c>
      <c r="O335" s="1" t="str">
        <f>IF(J335&gt;=100000,"Excellent", IF(J335&gt;=50000,"Good","Average"))</f>
        <v>Average</v>
      </c>
      <c r="P335" s="1">
        <f>(H335*G335)*(I335/100)</f>
        <v>600</v>
      </c>
      <c r="Q335" s="1">
        <f ca="1">J335-Q335</f>
        <v>0</v>
      </c>
    </row>
    <row r="336" spans="1:17" x14ac:dyDescent="0.25">
      <c r="A336" s="1">
        <v>1225</v>
      </c>
      <c r="B336" s="1" t="s">
        <v>215</v>
      </c>
      <c r="C336" s="1" t="s">
        <v>21</v>
      </c>
      <c r="D336" s="1" t="s">
        <v>17</v>
      </c>
      <c r="E336" s="1" t="s">
        <v>23</v>
      </c>
      <c r="F336" s="1" t="s">
        <v>24</v>
      </c>
      <c r="G336" s="1">
        <v>1</v>
      </c>
      <c r="H336" s="1">
        <v>12000</v>
      </c>
      <c r="I336" s="1">
        <v>5</v>
      </c>
      <c r="J336" s="1">
        <v>11400</v>
      </c>
      <c r="K336" s="1">
        <v>1449.01</v>
      </c>
      <c r="L336" s="1" t="str">
        <f>IF(K336&gt;=15000,"High Profit","Low Profit")</f>
        <v>Low Profit</v>
      </c>
      <c r="M336" s="1">
        <f>YEAR(B336)</f>
        <v>2025</v>
      </c>
      <c r="N336" s="1" t="str">
        <f>TEXT(B336,"mmmm")</f>
        <v>February</v>
      </c>
      <c r="O336" s="1" t="str">
        <f>IF(J336&gt;=100000,"Excellent", IF(J336&gt;=50000,"Good","Average"))</f>
        <v>Average</v>
      </c>
      <c r="P336" s="1">
        <f>(H336*G336)*(I336/100)</f>
        <v>600</v>
      </c>
      <c r="Q336" s="1">
        <f ca="1">J336-Q336</f>
        <v>0</v>
      </c>
    </row>
    <row r="337" spans="1:17" x14ac:dyDescent="0.25">
      <c r="A337" s="1">
        <v>1476</v>
      </c>
      <c r="B337" s="1" t="s">
        <v>337</v>
      </c>
      <c r="C337" s="1" t="s">
        <v>47</v>
      </c>
      <c r="D337" s="1" t="s">
        <v>13</v>
      </c>
      <c r="E337" s="1" t="s">
        <v>23</v>
      </c>
      <c r="F337" s="1" t="s">
        <v>24</v>
      </c>
      <c r="G337" s="1">
        <v>1</v>
      </c>
      <c r="H337" s="1">
        <v>12000</v>
      </c>
      <c r="I337" s="1">
        <v>5</v>
      </c>
      <c r="J337" s="1">
        <v>11400</v>
      </c>
      <c r="K337" s="1">
        <v>1771.29</v>
      </c>
      <c r="L337" s="1" t="str">
        <f>IF(K337&gt;=15000,"High Profit","Low Profit")</f>
        <v>Low Profit</v>
      </c>
      <c r="M337" s="1">
        <f>YEAR(B337)</f>
        <v>2025</v>
      </c>
      <c r="N337" s="1" t="str">
        <f>TEXT(B337,"mmmm")</f>
        <v>February</v>
      </c>
      <c r="O337" s="1" t="str">
        <f>IF(J337&gt;=100000,"Excellent", IF(J337&gt;=50000,"Good","Average"))</f>
        <v>Average</v>
      </c>
      <c r="P337" s="1">
        <f>(H337*G337)*(I337/100)</f>
        <v>600</v>
      </c>
      <c r="Q337" s="1">
        <f ca="1">J337-Q337</f>
        <v>0</v>
      </c>
    </row>
    <row r="338" spans="1:17" x14ac:dyDescent="0.25">
      <c r="A338" s="1">
        <v>1201</v>
      </c>
      <c r="B338" s="1" t="s">
        <v>69</v>
      </c>
      <c r="C338" s="1" t="s">
        <v>26</v>
      </c>
      <c r="D338" s="1" t="s">
        <v>22</v>
      </c>
      <c r="E338" s="1" t="s">
        <v>18</v>
      </c>
      <c r="F338" s="1" t="s">
        <v>19</v>
      </c>
      <c r="G338" s="1">
        <v>2</v>
      </c>
      <c r="H338" s="1">
        <v>7000</v>
      </c>
      <c r="I338" s="1">
        <v>20</v>
      </c>
      <c r="J338" s="1">
        <v>11200</v>
      </c>
      <c r="K338" s="1">
        <v>1250.5899999999999</v>
      </c>
      <c r="L338" s="1" t="str">
        <f>IF(K338&gt;=15000,"High Profit","Low Profit")</f>
        <v>Low Profit</v>
      </c>
      <c r="M338" s="1">
        <f>YEAR(B338)</f>
        <v>2025</v>
      </c>
      <c r="N338" s="1" t="str">
        <f>TEXT(B338,"mmmm")</f>
        <v>June</v>
      </c>
      <c r="O338" s="1" t="str">
        <f>IF(J338&gt;=100000,"Excellent", IF(J338&gt;=50000,"Good","Average"))</f>
        <v>Average</v>
      </c>
      <c r="P338" s="1">
        <f>(H338*G338)*(I338/100)</f>
        <v>2800</v>
      </c>
      <c r="Q338" s="1">
        <f ca="1">J338-Q338</f>
        <v>0</v>
      </c>
    </row>
    <row r="339" spans="1:17" x14ac:dyDescent="0.25">
      <c r="A339" s="1">
        <v>1380</v>
      </c>
      <c r="B339" s="1" t="s">
        <v>63</v>
      </c>
      <c r="C339" s="1" t="s">
        <v>30</v>
      </c>
      <c r="D339" s="1" t="s">
        <v>27</v>
      </c>
      <c r="E339" s="1" t="s">
        <v>18</v>
      </c>
      <c r="F339" s="1" t="s">
        <v>19</v>
      </c>
      <c r="G339" s="1">
        <v>2</v>
      </c>
      <c r="H339" s="1">
        <v>7000</v>
      </c>
      <c r="I339" s="1">
        <v>20</v>
      </c>
      <c r="J339" s="1">
        <v>11200</v>
      </c>
      <c r="K339" s="1">
        <v>1494.84</v>
      </c>
      <c r="L339" s="1" t="str">
        <f>IF(K339&gt;=15000,"High Profit","Low Profit")</f>
        <v>Low Profit</v>
      </c>
      <c r="M339" s="1">
        <f>YEAR(B339)</f>
        <v>2025</v>
      </c>
      <c r="N339" s="1" t="str">
        <f>TEXT(B339,"mmmm")</f>
        <v>September</v>
      </c>
      <c r="O339" s="1" t="str">
        <f>IF(J339&gt;=100000,"Excellent", IF(J339&gt;=50000,"Good","Average"))</f>
        <v>Average</v>
      </c>
      <c r="P339" s="1">
        <f>(H339*G339)*(I339/100)</f>
        <v>2800</v>
      </c>
      <c r="Q339" s="1">
        <f ca="1">J339-Q339</f>
        <v>0</v>
      </c>
    </row>
    <row r="340" spans="1:17" x14ac:dyDescent="0.25">
      <c r="A340" s="1">
        <v>1100</v>
      </c>
      <c r="B340" s="1" t="s">
        <v>123</v>
      </c>
      <c r="C340" s="1" t="s">
        <v>21</v>
      </c>
      <c r="D340" s="1" t="s">
        <v>17</v>
      </c>
      <c r="E340" s="1" t="s">
        <v>14</v>
      </c>
      <c r="F340" s="1" t="s">
        <v>15</v>
      </c>
      <c r="G340" s="1">
        <v>8</v>
      </c>
      <c r="H340" s="1">
        <v>1500</v>
      </c>
      <c r="I340" s="1">
        <v>10</v>
      </c>
      <c r="J340" s="1">
        <v>10800</v>
      </c>
      <c r="K340" s="1">
        <v>1823.83</v>
      </c>
      <c r="L340" s="1" t="str">
        <f>IF(K340&gt;=15000,"High Profit","Low Profit")</f>
        <v>Low Profit</v>
      </c>
      <c r="M340" s="1">
        <f>YEAR(B340)</f>
        <v>2025</v>
      </c>
      <c r="N340" s="1" t="str">
        <f>TEXT(B340,"mmmm")</f>
        <v>February</v>
      </c>
      <c r="O340" s="1" t="str">
        <f>IF(J340&gt;=100000,"Excellent", IF(J340&gt;=50000,"Good","Average"))</f>
        <v>Average</v>
      </c>
      <c r="P340" s="1">
        <f>(H340*G340)*(I340/100)</f>
        <v>1200</v>
      </c>
      <c r="Q340" s="1">
        <f ca="1">J340-Q340</f>
        <v>0</v>
      </c>
    </row>
    <row r="341" spans="1:17" x14ac:dyDescent="0.25">
      <c r="A341" s="1">
        <v>1141</v>
      </c>
      <c r="B341" s="1" t="s">
        <v>91</v>
      </c>
      <c r="C341" s="1" t="s">
        <v>30</v>
      </c>
      <c r="D341" s="1" t="s">
        <v>17</v>
      </c>
      <c r="E341" s="1" t="s">
        <v>14</v>
      </c>
      <c r="F341" s="1" t="s">
        <v>15</v>
      </c>
      <c r="G341" s="1">
        <v>8</v>
      </c>
      <c r="H341" s="1">
        <v>1500</v>
      </c>
      <c r="I341" s="1">
        <v>10</v>
      </c>
      <c r="J341" s="1">
        <v>10800</v>
      </c>
      <c r="K341" s="1">
        <v>2689.29</v>
      </c>
      <c r="L341" s="1" t="str">
        <f>IF(K341&gt;=15000,"High Profit","Low Profit")</f>
        <v>Low Profit</v>
      </c>
      <c r="M341" s="1">
        <f>YEAR(B341)</f>
        <v>2025</v>
      </c>
      <c r="N341" s="1" t="str">
        <f>TEXT(B341,"mmmm")</f>
        <v>January</v>
      </c>
      <c r="O341" s="1" t="str">
        <f>IF(J341&gt;=100000,"Excellent", IF(J341&gt;=50000,"Good","Average"))</f>
        <v>Average</v>
      </c>
      <c r="P341" s="1">
        <f>(H341*G341)*(I341/100)</f>
        <v>1200</v>
      </c>
      <c r="Q341" s="1">
        <f ca="1">J341-Q341</f>
        <v>0</v>
      </c>
    </row>
    <row r="342" spans="1:17" x14ac:dyDescent="0.25">
      <c r="A342" s="1">
        <v>1167</v>
      </c>
      <c r="B342" s="1" t="s">
        <v>20</v>
      </c>
      <c r="C342" s="1" t="s">
        <v>12</v>
      </c>
      <c r="D342" s="1" t="s">
        <v>27</v>
      </c>
      <c r="E342" s="1" t="s">
        <v>14</v>
      </c>
      <c r="F342" s="1" t="s">
        <v>15</v>
      </c>
      <c r="G342" s="1">
        <v>8</v>
      </c>
      <c r="H342" s="1">
        <v>1500</v>
      </c>
      <c r="I342" s="1">
        <v>10</v>
      </c>
      <c r="J342" s="1">
        <v>10800</v>
      </c>
      <c r="K342" s="1">
        <v>2421.15</v>
      </c>
      <c r="L342" s="1" t="str">
        <f>IF(K342&gt;=15000,"High Profit","Low Profit")</f>
        <v>Low Profit</v>
      </c>
      <c r="M342" s="1">
        <f>YEAR(B342)</f>
        <v>2025</v>
      </c>
      <c r="N342" s="1" t="str">
        <f>TEXT(B342,"mmmm")</f>
        <v>March</v>
      </c>
      <c r="O342" s="1" t="str">
        <f>IF(J342&gt;=100000,"Excellent", IF(J342&gt;=50000,"Good","Average"))</f>
        <v>Average</v>
      </c>
      <c r="P342" s="1">
        <f>(H342*G342)*(I342/100)</f>
        <v>1200</v>
      </c>
      <c r="Q342" s="1">
        <f ca="1">J342-Q342</f>
        <v>0</v>
      </c>
    </row>
    <row r="343" spans="1:17" x14ac:dyDescent="0.25">
      <c r="A343" s="1">
        <v>1269</v>
      </c>
      <c r="B343" s="1" t="s">
        <v>243</v>
      </c>
      <c r="C343" s="1" t="s">
        <v>39</v>
      </c>
      <c r="D343" s="1" t="s">
        <v>22</v>
      </c>
      <c r="E343" s="1" t="s">
        <v>14</v>
      </c>
      <c r="F343" s="1" t="s">
        <v>15</v>
      </c>
      <c r="G343" s="1">
        <v>8</v>
      </c>
      <c r="H343" s="1">
        <v>1500</v>
      </c>
      <c r="I343" s="1">
        <v>10</v>
      </c>
      <c r="J343" s="1">
        <v>10800</v>
      </c>
      <c r="K343" s="1">
        <v>1875.75</v>
      </c>
      <c r="L343" s="1" t="str">
        <f>IF(K343&gt;=15000,"High Profit","Low Profit")</f>
        <v>Low Profit</v>
      </c>
      <c r="M343" s="1">
        <f>YEAR(B343)</f>
        <v>2025</v>
      </c>
      <c r="N343" s="1" t="str">
        <f>TEXT(B343,"mmmm")</f>
        <v>June</v>
      </c>
      <c r="O343" s="1" t="str">
        <f>IF(J343&gt;=100000,"Excellent", IF(J343&gt;=50000,"Good","Average"))</f>
        <v>Average</v>
      </c>
      <c r="P343" s="1">
        <f>(H343*G343)*(I343/100)</f>
        <v>1200</v>
      </c>
      <c r="Q343" s="1">
        <f ca="1">J343-Q343</f>
        <v>0</v>
      </c>
    </row>
    <row r="344" spans="1:17" x14ac:dyDescent="0.25">
      <c r="A344" s="1">
        <v>1278</v>
      </c>
      <c r="B344" s="1" t="s">
        <v>249</v>
      </c>
      <c r="C344" s="1" t="s">
        <v>12</v>
      </c>
      <c r="D344" s="1" t="s">
        <v>13</v>
      </c>
      <c r="E344" s="1" t="s">
        <v>23</v>
      </c>
      <c r="F344" s="1" t="s">
        <v>24</v>
      </c>
      <c r="G344" s="1">
        <v>1</v>
      </c>
      <c r="H344" s="1">
        <v>12000</v>
      </c>
      <c r="I344" s="1">
        <v>10</v>
      </c>
      <c r="J344" s="1">
        <v>10800</v>
      </c>
      <c r="K344" s="1">
        <v>2168.8200000000002</v>
      </c>
      <c r="L344" s="1" t="str">
        <f>IF(K344&gt;=15000,"High Profit","Low Profit")</f>
        <v>Low Profit</v>
      </c>
      <c r="M344" s="1">
        <f>YEAR(B344)</f>
        <v>2025</v>
      </c>
      <c r="N344" s="1" t="str">
        <f>TEXT(B344,"mmmm")</f>
        <v>September</v>
      </c>
      <c r="O344" s="1" t="str">
        <f>IF(J344&gt;=100000,"Excellent", IF(J344&gt;=50000,"Good","Average"))</f>
        <v>Average</v>
      </c>
      <c r="P344" s="1">
        <f>(H344*G344)*(I344/100)</f>
        <v>1200</v>
      </c>
      <c r="Q344" s="1">
        <f ca="1">J344-Q344</f>
        <v>0</v>
      </c>
    </row>
    <row r="345" spans="1:17" x14ac:dyDescent="0.25">
      <c r="A345" s="1">
        <v>1331</v>
      </c>
      <c r="B345" s="1" t="s">
        <v>142</v>
      </c>
      <c r="C345" s="1" t="s">
        <v>47</v>
      </c>
      <c r="D345" s="1" t="s">
        <v>17</v>
      </c>
      <c r="E345" s="1" t="s">
        <v>14</v>
      </c>
      <c r="F345" s="1" t="s">
        <v>15</v>
      </c>
      <c r="G345" s="1">
        <v>9</v>
      </c>
      <c r="H345" s="1">
        <v>1500</v>
      </c>
      <c r="I345" s="1">
        <v>20</v>
      </c>
      <c r="J345" s="1">
        <v>10800</v>
      </c>
      <c r="K345" s="1">
        <v>1231.31</v>
      </c>
      <c r="L345" s="1" t="str">
        <f>IF(K345&gt;=15000,"High Profit","Low Profit")</f>
        <v>Low Profit</v>
      </c>
      <c r="M345" s="1">
        <f>YEAR(B345)</f>
        <v>2025</v>
      </c>
      <c r="N345" s="1" t="str">
        <f>TEXT(B345,"mmmm")</f>
        <v>May</v>
      </c>
      <c r="O345" s="1" t="str">
        <f>IF(J345&gt;=100000,"Excellent", IF(J345&gt;=50000,"Good","Average"))</f>
        <v>Average</v>
      </c>
      <c r="P345" s="1">
        <f>(H345*G345)*(I345/100)</f>
        <v>2700</v>
      </c>
      <c r="Q345" s="1">
        <f ca="1">J345-Q345</f>
        <v>0</v>
      </c>
    </row>
    <row r="346" spans="1:17" x14ac:dyDescent="0.25">
      <c r="A346" s="1">
        <v>1395</v>
      </c>
      <c r="B346" s="1" t="s">
        <v>304</v>
      </c>
      <c r="C346" s="1" t="s">
        <v>12</v>
      </c>
      <c r="D346" s="1" t="s">
        <v>13</v>
      </c>
      <c r="E346" s="1" t="s">
        <v>23</v>
      </c>
      <c r="F346" s="1" t="s">
        <v>24</v>
      </c>
      <c r="G346" s="1">
        <v>1</v>
      </c>
      <c r="H346" s="1">
        <v>12000</v>
      </c>
      <c r="I346" s="1">
        <v>10</v>
      </c>
      <c r="J346" s="1">
        <v>10800</v>
      </c>
      <c r="K346" s="1">
        <v>1493.07</v>
      </c>
      <c r="L346" s="1" t="str">
        <f>IF(K346&gt;=15000,"High Profit","Low Profit")</f>
        <v>Low Profit</v>
      </c>
      <c r="M346" s="1">
        <f>YEAR(B346)</f>
        <v>2025</v>
      </c>
      <c r="N346" s="1" t="str">
        <f>TEXT(B346,"mmmm")</f>
        <v>March</v>
      </c>
      <c r="O346" s="1" t="str">
        <f>IF(J346&gt;=100000,"Excellent", IF(J346&gt;=50000,"Good","Average"))</f>
        <v>Average</v>
      </c>
      <c r="P346" s="1">
        <f>(H346*G346)*(I346/100)</f>
        <v>1200</v>
      </c>
      <c r="Q346" s="1">
        <f ca="1">J346-Q346</f>
        <v>0</v>
      </c>
    </row>
    <row r="347" spans="1:17" x14ac:dyDescent="0.25">
      <c r="A347" s="1">
        <v>1034</v>
      </c>
      <c r="B347" s="1" t="s">
        <v>25</v>
      </c>
      <c r="C347" s="1" t="s">
        <v>32</v>
      </c>
      <c r="D347" s="1" t="s">
        <v>22</v>
      </c>
      <c r="E347" s="1" t="s">
        <v>14</v>
      </c>
      <c r="F347" s="1" t="s">
        <v>15</v>
      </c>
      <c r="G347" s="1">
        <v>8</v>
      </c>
      <c r="H347" s="1">
        <v>1500</v>
      </c>
      <c r="I347" s="1">
        <v>15</v>
      </c>
      <c r="J347" s="1">
        <v>10200</v>
      </c>
      <c r="K347" s="1">
        <v>1062.07</v>
      </c>
      <c r="L347" s="1" t="str">
        <f>IF(K347&gt;=15000,"High Profit","Low Profit")</f>
        <v>Low Profit</v>
      </c>
      <c r="M347" s="1">
        <f>YEAR(B347)</f>
        <v>2026</v>
      </c>
      <c r="N347" s="1" t="str">
        <f>TEXT(B347,"mmmm")</f>
        <v>June</v>
      </c>
      <c r="O347" s="1" t="str">
        <f>IF(J347&gt;=100000,"Excellent", IF(J347&gt;=50000,"Good","Average"))</f>
        <v>Average</v>
      </c>
      <c r="P347" s="1">
        <f>(H347*G347)*(I347/100)</f>
        <v>1800</v>
      </c>
      <c r="Q347" s="1">
        <f ca="1">J347-Q347</f>
        <v>0</v>
      </c>
    </row>
    <row r="348" spans="1:17" x14ac:dyDescent="0.25">
      <c r="A348" s="1">
        <v>1193</v>
      </c>
      <c r="B348" s="1" t="s">
        <v>193</v>
      </c>
      <c r="C348" s="1" t="s">
        <v>32</v>
      </c>
      <c r="D348" s="1" t="s">
        <v>13</v>
      </c>
      <c r="E348" s="1" t="s">
        <v>23</v>
      </c>
      <c r="F348" s="1" t="s">
        <v>24</v>
      </c>
      <c r="G348" s="1">
        <v>1</v>
      </c>
      <c r="H348" s="1">
        <v>12000</v>
      </c>
      <c r="I348" s="1">
        <v>15</v>
      </c>
      <c r="J348" s="1">
        <v>10200</v>
      </c>
      <c r="K348" s="1">
        <v>1141.31</v>
      </c>
      <c r="L348" s="1" t="str">
        <f>IF(K348&gt;=15000,"High Profit","Low Profit")</f>
        <v>Low Profit</v>
      </c>
      <c r="M348" s="1">
        <f>YEAR(B348)</f>
        <v>2025</v>
      </c>
      <c r="N348" s="1" t="str">
        <f>TEXT(B348,"mmmm")</f>
        <v>October</v>
      </c>
      <c r="O348" s="1" t="str">
        <f>IF(J348&gt;=100000,"Excellent", IF(J348&gt;=50000,"Good","Average"))</f>
        <v>Average</v>
      </c>
      <c r="P348" s="1">
        <f>(H348*G348)*(I348/100)</f>
        <v>1800</v>
      </c>
      <c r="Q348" s="1">
        <f ca="1">J348-Q348</f>
        <v>0</v>
      </c>
    </row>
    <row r="349" spans="1:17" x14ac:dyDescent="0.25">
      <c r="A349" s="1">
        <v>1373</v>
      </c>
      <c r="B349" s="1" t="s">
        <v>183</v>
      </c>
      <c r="C349" s="1" t="s">
        <v>26</v>
      </c>
      <c r="D349" s="1" t="s">
        <v>27</v>
      </c>
      <c r="E349" s="1" t="s">
        <v>14</v>
      </c>
      <c r="F349" s="1" t="s">
        <v>15</v>
      </c>
      <c r="G349" s="1">
        <v>8</v>
      </c>
      <c r="H349" s="1">
        <v>1500</v>
      </c>
      <c r="I349" s="1">
        <v>15</v>
      </c>
      <c r="J349" s="1">
        <v>10200</v>
      </c>
      <c r="K349" s="1">
        <v>2118.4499999999998</v>
      </c>
      <c r="L349" s="1" t="str">
        <f>IF(K349&gt;=15000,"High Profit","Low Profit")</f>
        <v>Low Profit</v>
      </c>
      <c r="M349" s="1">
        <f>YEAR(B349)</f>
        <v>2026</v>
      </c>
      <c r="N349" s="1" t="str">
        <f>TEXT(B349,"mmmm")</f>
        <v>March</v>
      </c>
      <c r="O349" s="1" t="str">
        <f>IF(J349&gt;=100000,"Excellent", IF(J349&gt;=50000,"Good","Average"))</f>
        <v>Average</v>
      </c>
      <c r="P349" s="1">
        <f>(H349*G349)*(I349/100)</f>
        <v>1800</v>
      </c>
      <c r="Q349" s="1">
        <f ca="1">J349-Q349</f>
        <v>0</v>
      </c>
    </row>
    <row r="350" spans="1:17" x14ac:dyDescent="0.25">
      <c r="A350" s="1">
        <v>1422</v>
      </c>
      <c r="B350" s="1" t="s">
        <v>319</v>
      </c>
      <c r="C350" s="1" t="s">
        <v>30</v>
      </c>
      <c r="D350" s="1" t="s">
        <v>22</v>
      </c>
      <c r="E350" s="1" t="s">
        <v>23</v>
      </c>
      <c r="F350" s="1" t="s">
        <v>24</v>
      </c>
      <c r="G350" s="1">
        <v>1</v>
      </c>
      <c r="H350" s="1">
        <v>12000</v>
      </c>
      <c r="I350" s="1">
        <v>15</v>
      </c>
      <c r="J350" s="1">
        <v>10200</v>
      </c>
      <c r="K350" s="1">
        <v>994.07</v>
      </c>
      <c r="L350" s="1" t="str">
        <f>IF(K350&gt;=15000,"High Profit","Low Profit")</f>
        <v>Low Profit</v>
      </c>
      <c r="M350" s="1">
        <f>YEAR(B350)</f>
        <v>2025</v>
      </c>
      <c r="N350" s="1" t="str">
        <f>TEXT(B350,"mmmm")</f>
        <v>July</v>
      </c>
      <c r="O350" s="1" t="str">
        <f>IF(J350&gt;=100000,"Excellent", IF(J350&gt;=50000,"Good","Average"))</f>
        <v>Average</v>
      </c>
      <c r="P350" s="1">
        <f>(H350*G350)*(I350/100)</f>
        <v>1800</v>
      </c>
      <c r="Q350" s="1">
        <f ca="1">J350-Q350</f>
        <v>0</v>
      </c>
    </row>
    <row r="351" spans="1:17" x14ac:dyDescent="0.25">
      <c r="A351" s="1">
        <v>1440</v>
      </c>
      <c r="B351" s="1" t="s">
        <v>83</v>
      </c>
      <c r="C351" s="1" t="s">
        <v>47</v>
      </c>
      <c r="D351" s="1" t="s">
        <v>13</v>
      </c>
      <c r="E351" s="1" t="s">
        <v>23</v>
      </c>
      <c r="F351" s="1" t="s">
        <v>24</v>
      </c>
      <c r="G351" s="1">
        <v>1</v>
      </c>
      <c r="H351" s="1">
        <v>12000</v>
      </c>
      <c r="I351" s="1">
        <v>15</v>
      </c>
      <c r="J351" s="1">
        <v>10200</v>
      </c>
      <c r="K351" s="1">
        <v>1076.8699999999999</v>
      </c>
      <c r="L351" s="1" t="str">
        <f>IF(K351&gt;=15000,"High Profit","Low Profit")</f>
        <v>Low Profit</v>
      </c>
      <c r="M351" s="1">
        <f>YEAR(B351)</f>
        <v>2025</v>
      </c>
      <c r="N351" s="1" t="str">
        <f>TEXT(B351,"mmmm")</f>
        <v>February</v>
      </c>
      <c r="O351" s="1" t="str">
        <f>IF(J351&gt;=100000,"Excellent", IF(J351&gt;=50000,"Good","Average"))</f>
        <v>Average</v>
      </c>
      <c r="P351" s="1">
        <f>(H351*G351)*(I351/100)</f>
        <v>1800</v>
      </c>
      <c r="Q351" s="1">
        <f ca="1">J351-Q351</f>
        <v>0</v>
      </c>
    </row>
    <row r="352" spans="1:17" x14ac:dyDescent="0.25">
      <c r="A352" s="1">
        <v>1492</v>
      </c>
      <c r="B352" s="1" t="s">
        <v>229</v>
      </c>
      <c r="C352" s="1" t="s">
        <v>12</v>
      </c>
      <c r="D352" s="1" t="s">
        <v>17</v>
      </c>
      <c r="E352" s="1" t="s">
        <v>14</v>
      </c>
      <c r="F352" s="1" t="s">
        <v>15</v>
      </c>
      <c r="G352" s="1">
        <v>8</v>
      </c>
      <c r="H352" s="1">
        <v>1500</v>
      </c>
      <c r="I352" s="1">
        <v>15</v>
      </c>
      <c r="J352" s="1">
        <v>10200</v>
      </c>
      <c r="K352" s="1">
        <v>2042.79</v>
      </c>
      <c r="L352" s="1" t="str">
        <f>IF(K352&gt;=15000,"High Profit","Low Profit")</f>
        <v>Low Profit</v>
      </c>
      <c r="M352" s="1">
        <f>YEAR(B352)</f>
        <v>2026</v>
      </c>
      <c r="N352" s="1" t="str">
        <f>TEXT(B352,"mmmm")</f>
        <v>January</v>
      </c>
      <c r="O352" s="1" t="str">
        <f>IF(J352&gt;=100000,"Excellent", IF(J352&gt;=50000,"Good","Average"))</f>
        <v>Average</v>
      </c>
      <c r="P352" s="1">
        <f>(H352*G352)*(I352/100)</f>
        <v>1800</v>
      </c>
      <c r="Q352" s="1">
        <f ca="1">J352-Q352</f>
        <v>0</v>
      </c>
    </row>
    <row r="353" spans="1:17" x14ac:dyDescent="0.25">
      <c r="A353" s="1">
        <v>1129</v>
      </c>
      <c r="B353" s="1" t="s">
        <v>31</v>
      </c>
      <c r="C353" s="1" t="s">
        <v>47</v>
      </c>
      <c r="D353" s="1" t="s">
        <v>13</v>
      </c>
      <c r="E353" s="1" t="s">
        <v>14</v>
      </c>
      <c r="F353" s="1" t="s">
        <v>15</v>
      </c>
      <c r="G353" s="1">
        <v>7</v>
      </c>
      <c r="H353" s="1">
        <v>1500</v>
      </c>
      <c r="I353" s="1">
        <v>5</v>
      </c>
      <c r="J353" s="1">
        <v>9975</v>
      </c>
      <c r="K353" s="1">
        <v>1434.08</v>
      </c>
      <c r="L353" s="1" t="str">
        <f>IF(K353&gt;=15000,"High Profit","Low Profit")</f>
        <v>Low Profit</v>
      </c>
      <c r="M353" s="1">
        <f>YEAR(B353)</f>
        <v>2026</v>
      </c>
      <c r="N353" s="1" t="str">
        <f>TEXT(B353,"mmmm")</f>
        <v>February</v>
      </c>
      <c r="O353" s="1" t="str">
        <f>IF(J353&gt;=100000,"Excellent", IF(J353&gt;=50000,"Good","Average"))</f>
        <v>Average</v>
      </c>
      <c r="P353" s="1">
        <f>(H353*G353)*(I353/100)</f>
        <v>525</v>
      </c>
      <c r="Q353" s="1">
        <f ca="1">J353-Q353</f>
        <v>0</v>
      </c>
    </row>
    <row r="354" spans="1:17" x14ac:dyDescent="0.25">
      <c r="A354" s="1">
        <v>1318</v>
      </c>
      <c r="B354" s="1" t="s">
        <v>271</v>
      </c>
      <c r="C354" s="1" t="s">
        <v>45</v>
      </c>
      <c r="D354" s="1" t="s">
        <v>22</v>
      </c>
      <c r="E354" s="1" t="s">
        <v>14</v>
      </c>
      <c r="F354" s="1" t="s">
        <v>15</v>
      </c>
      <c r="G354" s="1">
        <v>7</v>
      </c>
      <c r="H354" s="1">
        <v>1500</v>
      </c>
      <c r="I354" s="1">
        <v>5</v>
      </c>
      <c r="J354" s="1">
        <v>9975</v>
      </c>
      <c r="K354" s="1">
        <v>1281.46</v>
      </c>
      <c r="L354" s="1" t="str">
        <f>IF(K354&gt;=15000,"High Profit","Low Profit")</f>
        <v>Low Profit</v>
      </c>
      <c r="M354" s="1">
        <f>YEAR(B354)</f>
        <v>2025</v>
      </c>
      <c r="N354" s="1" t="str">
        <f>TEXT(B354,"mmmm")</f>
        <v>October</v>
      </c>
      <c r="O354" s="1" t="str">
        <f>IF(J354&gt;=100000,"Excellent", IF(J354&gt;=50000,"Good","Average"))</f>
        <v>Average</v>
      </c>
      <c r="P354" s="1">
        <f>(H354*G354)*(I354/100)</f>
        <v>525</v>
      </c>
      <c r="Q354" s="1">
        <f ca="1">J354-Q354</f>
        <v>0</v>
      </c>
    </row>
    <row r="355" spans="1:17" x14ac:dyDescent="0.25">
      <c r="A355" s="1">
        <v>1389</v>
      </c>
      <c r="B355" s="1" t="s">
        <v>180</v>
      </c>
      <c r="C355" s="1" t="s">
        <v>36</v>
      </c>
      <c r="D355" s="1" t="s">
        <v>13</v>
      </c>
      <c r="E355" s="1" t="s">
        <v>14</v>
      </c>
      <c r="F355" s="1" t="s">
        <v>15</v>
      </c>
      <c r="G355" s="1">
        <v>7</v>
      </c>
      <c r="H355" s="1">
        <v>1500</v>
      </c>
      <c r="I355" s="1">
        <v>5</v>
      </c>
      <c r="J355" s="1">
        <v>9975</v>
      </c>
      <c r="K355" s="1">
        <v>897.53</v>
      </c>
      <c r="L355" s="1" t="str">
        <f>IF(K355&gt;=15000,"High Profit","Low Profit")</f>
        <v>Low Profit</v>
      </c>
      <c r="M355" s="1">
        <f>YEAR(B355)</f>
        <v>2025</v>
      </c>
      <c r="N355" s="1" t="str">
        <f>TEXT(B355,"mmmm")</f>
        <v>February</v>
      </c>
      <c r="O355" s="1" t="str">
        <f>IF(J355&gt;=100000,"Excellent", IF(J355&gt;=50000,"Good","Average"))</f>
        <v>Average</v>
      </c>
      <c r="P355" s="1">
        <f>(H355*G355)*(I355/100)</f>
        <v>525</v>
      </c>
      <c r="Q355" s="1">
        <f ca="1">J355-Q355</f>
        <v>0</v>
      </c>
    </row>
    <row r="356" spans="1:17" x14ac:dyDescent="0.25">
      <c r="A356" s="1">
        <v>1494</v>
      </c>
      <c r="B356" s="1" t="s">
        <v>324</v>
      </c>
      <c r="C356" s="1" t="s">
        <v>12</v>
      </c>
      <c r="D356" s="1" t="s">
        <v>13</v>
      </c>
      <c r="E356" s="1" t="s">
        <v>14</v>
      </c>
      <c r="F356" s="1" t="s">
        <v>15</v>
      </c>
      <c r="G356" s="1">
        <v>7</v>
      </c>
      <c r="H356" s="1">
        <v>1500</v>
      </c>
      <c r="I356" s="1">
        <v>5</v>
      </c>
      <c r="J356" s="1">
        <v>9975</v>
      </c>
      <c r="K356" s="1">
        <v>950.53</v>
      </c>
      <c r="L356" s="1" t="str">
        <f>IF(K356&gt;=15000,"High Profit","Low Profit")</f>
        <v>Low Profit</v>
      </c>
      <c r="M356" s="1">
        <f>YEAR(B356)</f>
        <v>2025</v>
      </c>
      <c r="N356" s="1" t="str">
        <f>TEXT(B356,"mmmm")</f>
        <v>September</v>
      </c>
      <c r="O356" s="1" t="str">
        <f>IF(J356&gt;=100000,"Excellent", IF(J356&gt;=50000,"Good","Average"))</f>
        <v>Average</v>
      </c>
      <c r="P356" s="1">
        <f>(H356*G356)*(I356/100)</f>
        <v>525</v>
      </c>
      <c r="Q356" s="1">
        <f ca="1">J356-Q356</f>
        <v>0</v>
      </c>
    </row>
    <row r="357" spans="1:17" x14ac:dyDescent="0.25">
      <c r="A357" s="1">
        <v>1084</v>
      </c>
      <c r="B357" s="1" t="s">
        <v>108</v>
      </c>
      <c r="C357" s="1" t="s">
        <v>26</v>
      </c>
      <c r="D357" s="1" t="s">
        <v>13</v>
      </c>
      <c r="E357" s="1" t="s">
        <v>14</v>
      </c>
      <c r="F357" s="1" t="s">
        <v>15</v>
      </c>
      <c r="G357" s="1">
        <v>8</v>
      </c>
      <c r="H357" s="1">
        <v>1500</v>
      </c>
      <c r="I357" s="1">
        <v>20</v>
      </c>
      <c r="J357" s="1">
        <v>9600</v>
      </c>
      <c r="K357" s="1">
        <v>1841.71</v>
      </c>
      <c r="L357" s="1" t="str">
        <f>IF(K357&gt;=15000,"High Profit","Low Profit")</f>
        <v>Low Profit</v>
      </c>
      <c r="M357" s="1">
        <f>YEAR(B357)</f>
        <v>2025</v>
      </c>
      <c r="N357" s="1" t="str">
        <f>TEXT(B357,"mmmm")</f>
        <v>December</v>
      </c>
      <c r="O357" s="1" t="str">
        <f>IF(J357&gt;=100000,"Excellent", IF(J357&gt;=50000,"Good","Average"))</f>
        <v>Average</v>
      </c>
      <c r="P357" s="1">
        <f>(H357*G357)*(I357/100)</f>
        <v>2400</v>
      </c>
      <c r="Q357" s="1">
        <f ca="1">J357-Q357</f>
        <v>0</v>
      </c>
    </row>
    <row r="358" spans="1:17" x14ac:dyDescent="0.25">
      <c r="A358" s="1">
        <v>1402</v>
      </c>
      <c r="B358" s="1" t="s">
        <v>309</v>
      </c>
      <c r="C358" s="1" t="s">
        <v>30</v>
      </c>
      <c r="D358" s="1" t="s">
        <v>17</v>
      </c>
      <c r="E358" s="1" t="s">
        <v>14</v>
      </c>
      <c r="F358" s="1" t="s">
        <v>15</v>
      </c>
      <c r="G358" s="1">
        <v>8</v>
      </c>
      <c r="H358" s="1">
        <v>1500</v>
      </c>
      <c r="I358" s="1">
        <v>20</v>
      </c>
      <c r="J358" s="1">
        <v>9600</v>
      </c>
      <c r="K358" s="1">
        <v>977.5</v>
      </c>
      <c r="L358" s="1" t="str">
        <f>IF(K358&gt;=15000,"High Profit","Low Profit")</f>
        <v>Low Profit</v>
      </c>
      <c r="M358" s="1">
        <f>YEAR(B358)</f>
        <v>2026</v>
      </c>
      <c r="N358" s="1" t="str">
        <f>TEXT(B358,"mmmm")</f>
        <v>June</v>
      </c>
      <c r="O358" s="1" t="str">
        <f>IF(J358&gt;=100000,"Excellent", IF(J358&gt;=50000,"Good","Average"))</f>
        <v>Average</v>
      </c>
      <c r="P358" s="1">
        <f>(H358*G358)*(I358/100)</f>
        <v>2400</v>
      </c>
      <c r="Q358" s="1">
        <f ca="1">J358-Q358</f>
        <v>0</v>
      </c>
    </row>
    <row r="359" spans="1:17" x14ac:dyDescent="0.25">
      <c r="A359" s="1">
        <v>1014</v>
      </c>
      <c r="B359" s="1" t="s">
        <v>44</v>
      </c>
      <c r="C359" s="1" t="s">
        <v>45</v>
      </c>
      <c r="D359" s="1" t="s">
        <v>22</v>
      </c>
      <c r="E359" s="1" t="s">
        <v>14</v>
      </c>
      <c r="F359" s="1" t="s">
        <v>15</v>
      </c>
      <c r="G359" s="1">
        <v>7</v>
      </c>
      <c r="H359" s="1">
        <v>1500</v>
      </c>
      <c r="I359" s="1">
        <v>10</v>
      </c>
      <c r="J359" s="1">
        <v>9450</v>
      </c>
      <c r="K359" s="1">
        <v>1035.6300000000001</v>
      </c>
      <c r="L359" s="1" t="str">
        <f>IF(K359&gt;=15000,"High Profit","Low Profit")</f>
        <v>Low Profit</v>
      </c>
      <c r="M359" s="1">
        <f>YEAR(B359)</f>
        <v>2026</v>
      </c>
      <c r="N359" s="1" t="str">
        <f>TEXT(B359,"mmmm")</f>
        <v>May</v>
      </c>
      <c r="O359" s="1" t="str">
        <f>IF(J359&gt;=100000,"Excellent", IF(J359&gt;=50000,"Good","Average"))</f>
        <v>Average</v>
      </c>
      <c r="P359" s="1">
        <f>(H359*G359)*(I359/100)</f>
        <v>1050</v>
      </c>
      <c r="Q359" s="1">
        <f ca="1">J359-Q359</f>
        <v>0</v>
      </c>
    </row>
    <row r="360" spans="1:17" x14ac:dyDescent="0.25">
      <c r="A360" s="1">
        <v>1398</v>
      </c>
      <c r="B360" s="1" t="s">
        <v>306</v>
      </c>
      <c r="C360" s="1" t="s">
        <v>36</v>
      </c>
      <c r="D360" s="1" t="s">
        <v>13</v>
      </c>
      <c r="E360" s="1" t="s">
        <v>14</v>
      </c>
      <c r="F360" s="1" t="s">
        <v>15</v>
      </c>
      <c r="G360" s="1">
        <v>7</v>
      </c>
      <c r="H360" s="1">
        <v>1500</v>
      </c>
      <c r="I360" s="1">
        <v>10</v>
      </c>
      <c r="J360" s="1">
        <v>9450</v>
      </c>
      <c r="K360" s="1">
        <v>1377</v>
      </c>
      <c r="L360" s="1" t="str">
        <f>IF(K360&gt;=15000,"High Profit","Low Profit")</f>
        <v>Low Profit</v>
      </c>
      <c r="M360" s="1">
        <f>YEAR(B360)</f>
        <v>2025</v>
      </c>
      <c r="N360" s="1" t="str">
        <f>TEXT(B360,"mmmm")</f>
        <v>June</v>
      </c>
      <c r="O360" s="1" t="str">
        <f>IF(J360&gt;=100000,"Excellent", IF(J360&gt;=50000,"Good","Average"))</f>
        <v>Average</v>
      </c>
      <c r="P360" s="1">
        <f>(H360*G360)*(I360/100)</f>
        <v>1050</v>
      </c>
      <c r="Q360" s="1">
        <f ca="1">J360-Q360</f>
        <v>0</v>
      </c>
    </row>
    <row r="361" spans="1:17" x14ac:dyDescent="0.25">
      <c r="A361" s="1">
        <v>1112</v>
      </c>
      <c r="B361" s="1" t="s">
        <v>135</v>
      </c>
      <c r="C361" s="1" t="s">
        <v>32</v>
      </c>
      <c r="D361" s="1" t="s">
        <v>17</v>
      </c>
      <c r="E361" s="1" t="s">
        <v>14</v>
      </c>
      <c r="F361" s="1" t="s">
        <v>15</v>
      </c>
      <c r="G361" s="1">
        <v>6</v>
      </c>
      <c r="H361" s="1">
        <v>1500</v>
      </c>
      <c r="I361" s="1">
        <v>0</v>
      </c>
      <c r="J361" s="1">
        <v>9000</v>
      </c>
      <c r="K361" s="1">
        <v>1374.74</v>
      </c>
      <c r="L361" s="1" t="str">
        <f>IF(K361&gt;=15000,"High Profit","Low Profit")</f>
        <v>Low Profit</v>
      </c>
      <c r="M361" s="1">
        <f>YEAR(B361)</f>
        <v>2026</v>
      </c>
      <c r="N361" s="1" t="str">
        <f>TEXT(B361,"mmmm")</f>
        <v>February</v>
      </c>
      <c r="O361" s="1" t="str">
        <f>IF(J361&gt;=100000,"Excellent", IF(J361&gt;=50000,"Good","Average"))</f>
        <v>Average</v>
      </c>
      <c r="P361" s="1">
        <f>(H361*G361)*(I361/100)</f>
        <v>0</v>
      </c>
      <c r="Q361" s="1">
        <f ca="1">J361-Q361</f>
        <v>0</v>
      </c>
    </row>
    <row r="362" spans="1:17" x14ac:dyDescent="0.25">
      <c r="A362" s="1">
        <v>1097</v>
      </c>
      <c r="B362" s="1" t="s">
        <v>37</v>
      </c>
      <c r="C362" s="1" t="s">
        <v>41</v>
      </c>
      <c r="D362" s="1" t="s">
        <v>27</v>
      </c>
      <c r="E362" s="1" t="s">
        <v>14</v>
      </c>
      <c r="F362" s="1" t="s">
        <v>15</v>
      </c>
      <c r="G362" s="1">
        <v>7</v>
      </c>
      <c r="H362" s="1">
        <v>1500</v>
      </c>
      <c r="I362" s="1">
        <v>15</v>
      </c>
      <c r="J362" s="1">
        <v>8925</v>
      </c>
      <c r="K362" s="1">
        <v>966.53</v>
      </c>
      <c r="L362" s="1" t="str">
        <f>IF(K362&gt;=15000,"High Profit","Low Profit")</f>
        <v>Low Profit</v>
      </c>
      <c r="M362" s="1">
        <f>YEAR(B362)</f>
        <v>2026</v>
      </c>
      <c r="N362" s="1" t="str">
        <f>TEXT(B362,"mmmm")</f>
        <v>June</v>
      </c>
      <c r="O362" s="1" t="str">
        <f>IF(J362&gt;=100000,"Excellent", IF(J362&gt;=50000,"Good","Average"))</f>
        <v>Average</v>
      </c>
      <c r="P362" s="1">
        <f>(H362*G362)*(I362/100)</f>
        <v>1575</v>
      </c>
      <c r="Q362" s="1">
        <f ca="1">J362-Q362</f>
        <v>0</v>
      </c>
    </row>
    <row r="363" spans="1:17" x14ac:dyDescent="0.25">
      <c r="A363" s="1">
        <v>1333</v>
      </c>
      <c r="B363" s="1" t="s">
        <v>144</v>
      </c>
      <c r="C363" s="1" t="s">
        <v>12</v>
      </c>
      <c r="D363" s="1" t="s">
        <v>22</v>
      </c>
      <c r="E363" s="1" t="s">
        <v>14</v>
      </c>
      <c r="F363" s="1" t="s">
        <v>15</v>
      </c>
      <c r="G363" s="1">
        <v>7</v>
      </c>
      <c r="H363" s="1">
        <v>1500</v>
      </c>
      <c r="I363" s="1">
        <v>15</v>
      </c>
      <c r="J363" s="1">
        <v>8925</v>
      </c>
      <c r="K363" s="1">
        <v>1802.53</v>
      </c>
      <c r="L363" s="1" t="str">
        <f>IF(K363&gt;=15000,"High Profit","Low Profit")</f>
        <v>Low Profit</v>
      </c>
      <c r="M363" s="1">
        <f>YEAR(B363)</f>
        <v>2025</v>
      </c>
      <c r="N363" s="1" t="str">
        <f>TEXT(B363,"mmmm")</f>
        <v>June</v>
      </c>
      <c r="O363" s="1" t="str">
        <f>IF(J363&gt;=100000,"Excellent", IF(J363&gt;=50000,"Good","Average"))</f>
        <v>Average</v>
      </c>
      <c r="P363" s="1">
        <f>(H363*G363)*(I363/100)</f>
        <v>1575</v>
      </c>
      <c r="Q363" s="1">
        <f ca="1">J363-Q363</f>
        <v>0</v>
      </c>
    </row>
    <row r="364" spans="1:17" x14ac:dyDescent="0.25">
      <c r="A364" s="1">
        <v>1433</v>
      </c>
      <c r="B364" s="1" t="s">
        <v>125</v>
      </c>
      <c r="C364" s="1" t="s">
        <v>26</v>
      </c>
      <c r="D364" s="1" t="s">
        <v>22</v>
      </c>
      <c r="E364" s="1" t="s">
        <v>14</v>
      </c>
      <c r="F364" s="1" t="s">
        <v>15</v>
      </c>
      <c r="G364" s="1">
        <v>7</v>
      </c>
      <c r="H364" s="1">
        <v>1500</v>
      </c>
      <c r="I364" s="1">
        <v>15</v>
      </c>
      <c r="J364" s="1">
        <v>8925</v>
      </c>
      <c r="K364" s="1">
        <v>1646.54</v>
      </c>
      <c r="L364" s="1" t="str">
        <f>IF(K364&gt;=15000,"High Profit","Low Profit")</f>
        <v>Low Profit</v>
      </c>
      <c r="M364" s="1">
        <f>YEAR(B364)</f>
        <v>2025</v>
      </c>
      <c r="N364" s="1" t="str">
        <f>TEXT(B364,"mmmm")</f>
        <v>October</v>
      </c>
      <c r="O364" s="1" t="str">
        <f>IF(J364&gt;=100000,"Excellent", IF(J364&gt;=50000,"Good","Average"))</f>
        <v>Average</v>
      </c>
      <c r="P364" s="1">
        <f>(H364*G364)*(I364/100)</f>
        <v>1575</v>
      </c>
      <c r="Q364" s="1">
        <f ca="1">J364-Q364</f>
        <v>0</v>
      </c>
    </row>
    <row r="365" spans="1:17" x14ac:dyDescent="0.25">
      <c r="A365" s="1">
        <v>1175</v>
      </c>
      <c r="B365" s="1" t="s">
        <v>180</v>
      </c>
      <c r="C365" s="1" t="s">
        <v>47</v>
      </c>
      <c r="D365" s="1" t="s">
        <v>22</v>
      </c>
      <c r="E365" s="1" t="s">
        <v>14</v>
      </c>
      <c r="F365" s="1" t="s">
        <v>15</v>
      </c>
      <c r="G365" s="1">
        <v>6</v>
      </c>
      <c r="H365" s="1">
        <v>1500</v>
      </c>
      <c r="I365" s="1">
        <v>5</v>
      </c>
      <c r="J365" s="1">
        <v>8550</v>
      </c>
      <c r="K365" s="1">
        <v>1722.47</v>
      </c>
      <c r="L365" s="1" t="str">
        <f>IF(K365&gt;=15000,"High Profit","Low Profit")</f>
        <v>Low Profit</v>
      </c>
      <c r="M365" s="1">
        <f>YEAR(B365)</f>
        <v>2025</v>
      </c>
      <c r="N365" s="1" t="str">
        <f>TEXT(B365,"mmmm")</f>
        <v>February</v>
      </c>
      <c r="O365" s="1" t="str">
        <f>IF(J365&gt;=100000,"Excellent", IF(J365&gt;=50000,"Good","Average"))</f>
        <v>Average</v>
      </c>
      <c r="P365" s="1">
        <f>(H365*G365)*(I365/100)</f>
        <v>450</v>
      </c>
      <c r="Q365" s="1">
        <f ca="1">J365-Q365</f>
        <v>0</v>
      </c>
    </row>
    <row r="366" spans="1:17" x14ac:dyDescent="0.25">
      <c r="A366" s="1">
        <v>1282</v>
      </c>
      <c r="B366" s="1" t="s">
        <v>252</v>
      </c>
      <c r="C366" s="1" t="s">
        <v>47</v>
      </c>
      <c r="D366" s="1" t="s">
        <v>17</v>
      </c>
      <c r="E366" s="1" t="s">
        <v>14</v>
      </c>
      <c r="F366" s="1" t="s">
        <v>15</v>
      </c>
      <c r="G366" s="1">
        <v>6</v>
      </c>
      <c r="H366" s="1">
        <v>1500</v>
      </c>
      <c r="I366" s="1">
        <v>5</v>
      </c>
      <c r="J366" s="1">
        <v>8550</v>
      </c>
      <c r="K366" s="1">
        <v>1215.46</v>
      </c>
      <c r="L366" s="1" t="str">
        <f>IF(K366&gt;=15000,"High Profit","Low Profit")</f>
        <v>Low Profit</v>
      </c>
      <c r="M366" s="1">
        <f>YEAR(B366)</f>
        <v>2026</v>
      </c>
      <c r="N366" s="1" t="str">
        <f>TEXT(B366,"mmmm")</f>
        <v>April</v>
      </c>
      <c r="O366" s="1" t="str">
        <f>IF(J366&gt;=100000,"Excellent", IF(J366&gt;=50000,"Good","Average"))</f>
        <v>Average</v>
      </c>
      <c r="P366" s="1">
        <f>(H366*G366)*(I366/100)</f>
        <v>450</v>
      </c>
      <c r="Q366" s="1">
        <f ca="1">J366-Q366</f>
        <v>0</v>
      </c>
    </row>
    <row r="367" spans="1:17" x14ac:dyDescent="0.25">
      <c r="A367" s="1">
        <v>1153</v>
      </c>
      <c r="B367" s="1" t="s">
        <v>166</v>
      </c>
      <c r="C367" s="1" t="s">
        <v>36</v>
      </c>
      <c r="D367" s="1" t="s">
        <v>22</v>
      </c>
      <c r="E367" s="1" t="s">
        <v>14</v>
      </c>
      <c r="F367" s="1" t="s">
        <v>15</v>
      </c>
      <c r="G367" s="1">
        <v>6</v>
      </c>
      <c r="H367" s="1">
        <v>1500</v>
      </c>
      <c r="I367" s="1">
        <v>10</v>
      </c>
      <c r="J367" s="1">
        <v>8100</v>
      </c>
      <c r="K367" s="1">
        <v>1000</v>
      </c>
      <c r="L367" s="1" t="str">
        <f>IF(K367&gt;=15000,"High Profit","Low Profit")</f>
        <v>Low Profit</v>
      </c>
      <c r="M367" s="1">
        <f>YEAR(B367)</f>
        <v>2025</v>
      </c>
      <c r="N367" s="1" t="str">
        <f>TEXT(B367,"mmmm")</f>
        <v>November</v>
      </c>
      <c r="O367" s="1" t="str">
        <f>IF(J367&gt;=100000,"Excellent", IF(J367&gt;=50000,"Good","Average"))</f>
        <v>Average</v>
      </c>
      <c r="P367" s="1">
        <f>(H367*G367)*(I367/100)</f>
        <v>900</v>
      </c>
      <c r="Q367" s="1">
        <f ca="1">J367-Q367</f>
        <v>0</v>
      </c>
    </row>
    <row r="368" spans="1:17" x14ac:dyDescent="0.25">
      <c r="A368" s="1">
        <v>1262</v>
      </c>
      <c r="B368" s="1" t="s">
        <v>239</v>
      </c>
      <c r="C368" s="1" t="s">
        <v>36</v>
      </c>
      <c r="D368" s="1" t="s">
        <v>17</v>
      </c>
      <c r="E368" s="1" t="s">
        <v>14</v>
      </c>
      <c r="F368" s="1" t="s">
        <v>15</v>
      </c>
      <c r="G368" s="1">
        <v>6</v>
      </c>
      <c r="H368" s="1">
        <v>1500</v>
      </c>
      <c r="I368" s="1">
        <v>10</v>
      </c>
      <c r="J368" s="1">
        <v>8100</v>
      </c>
      <c r="K368" s="1">
        <v>988.89</v>
      </c>
      <c r="L368" s="1" t="str">
        <f>IF(K368&gt;=15000,"High Profit","Low Profit")</f>
        <v>Low Profit</v>
      </c>
      <c r="M368" s="1">
        <f>YEAR(B368)</f>
        <v>2025</v>
      </c>
      <c r="N368" s="1" t="str">
        <f>TEXT(B368,"mmmm")</f>
        <v>September</v>
      </c>
      <c r="O368" s="1" t="str">
        <f>IF(J368&gt;=100000,"Excellent", IF(J368&gt;=50000,"Good","Average"))</f>
        <v>Average</v>
      </c>
      <c r="P368" s="1">
        <f>(H368*G368)*(I368/100)</f>
        <v>900</v>
      </c>
      <c r="Q368" s="1">
        <f ca="1">J368-Q368</f>
        <v>0</v>
      </c>
    </row>
    <row r="369" spans="1:17" x14ac:dyDescent="0.25">
      <c r="A369" s="1">
        <v>1296</v>
      </c>
      <c r="B369" s="1" t="s">
        <v>261</v>
      </c>
      <c r="C369" s="1" t="s">
        <v>36</v>
      </c>
      <c r="D369" s="1" t="s">
        <v>22</v>
      </c>
      <c r="E369" s="1" t="s">
        <v>14</v>
      </c>
      <c r="F369" s="1" t="s">
        <v>15</v>
      </c>
      <c r="G369" s="1">
        <v>6</v>
      </c>
      <c r="H369" s="1">
        <v>1500</v>
      </c>
      <c r="I369" s="1">
        <v>10</v>
      </c>
      <c r="J369" s="1">
        <v>8100</v>
      </c>
      <c r="K369" s="1">
        <v>1310.1400000000001</v>
      </c>
      <c r="L369" s="1" t="str">
        <f>IF(K369&gt;=15000,"High Profit","Low Profit")</f>
        <v>Low Profit</v>
      </c>
      <c r="M369" s="1">
        <f>YEAR(B369)</f>
        <v>2025</v>
      </c>
      <c r="N369" s="1" t="str">
        <f>TEXT(B369,"mmmm")</f>
        <v>October</v>
      </c>
      <c r="O369" s="1" t="str">
        <f>IF(J369&gt;=100000,"Excellent", IF(J369&gt;=50000,"Good","Average"))</f>
        <v>Average</v>
      </c>
      <c r="P369" s="1">
        <f>(H369*G369)*(I369/100)</f>
        <v>900</v>
      </c>
      <c r="Q369" s="1">
        <f ca="1">J369-Q369</f>
        <v>0</v>
      </c>
    </row>
    <row r="370" spans="1:17" x14ac:dyDescent="0.25">
      <c r="A370" s="1">
        <v>1347</v>
      </c>
      <c r="B370" s="1" t="s">
        <v>176</v>
      </c>
      <c r="C370" s="1" t="s">
        <v>36</v>
      </c>
      <c r="D370" s="1" t="s">
        <v>22</v>
      </c>
      <c r="E370" s="1" t="s">
        <v>43</v>
      </c>
      <c r="F370" s="1" t="s">
        <v>24</v>
      </c>
      <c r="G370" s="1">
        <v>1</v>
      </c>
      <c r="H370" s="1">
        <v>9000</v>
      </c>
      <c r="I370" s="1">
        <v>10</v>
      </c>
      <c r="J370" s="1">
        <v>8100</v>
      </c>
      <c r="K370" s="1">
        <v>875.68</v>
      </c>
      <c r="L370" s="1" t="str">
        <f>IF(K370&gt;=15000,"High Profit","Low Profit")</f>
        <v>Low Profit</v>
      </c>
      <c r="M370" s="1">
        <f>YEAR(B370)</f>
        <v>2025</v>
      </c>
      <c r="N370" s="1" t="str">
        <f>TEXT(B370,"mmmm")</f>
        <v>October</v>
      </c>
      <c r="O370" s="1" t="str">
        <f>IF(J370&gt;=100000,"Excellent", IF(J370&gt;=50000,"Good","Average"))</f>
        <v>Average</v>
      </c>
      <c r="P370" s="1">
        <f>(H370*G370)*(I370/100)</f>
        <v>900</v>
      </c>
      <c r="Q370" s="1">
        <f ca="1">J370-Q370</f>
        <v>0</v>
      </c>
    </row>
    <row r="371" spans="1:17" x14ac:dyDescent="0.25">
      <c r="A371" s="1">
        <v>1203</v>
      </c>
      <c r="B371" s="1" t="s">
        <v>201</v>
      </c>
      <c r="C371" s="1" t="s">
        <v>26</v>
      </c>
      <c r="D371" s="1" t="s">
        <v>17</v>
      </c>
      <c r="E371" s="1" t="s">
        <v>28</v>
      </c>
      <c r="F371" s="1" t="s">
        <v>15</v>
      </c>
      <c r="G371" s="1">
        <v>10</v>
      </c>
      <c r="H371" s="1">
        <v>800</v>
      </c>
      <c r="I371" s="1">
        <v>0</v>
      </c>
      <c r="J371" s="1">
        <v>8000</v>
      </c>
      <c r="K371" s="1">
        <v>1851.52</v>
      </c>
      <c r="L371" s="1" t="str">
        <f>IF(K371&gt;=15000,"High Profit","Low Profit")</f>
        <v>Low Profit</v>
      </c>
      <c r="M371" s="1">
        <f>YEAR(B371)</f>
        <v>2025</v>
      </c>
      <c r="N371" s="1" t="str">
        <f>TEXT(B371,"mmmm")</f>
        <v>November</v>
      </c>
      <c r="O371" s="1" t="str">
        <f>IF(J371&gt;=100000,"Excellent", IF(J371&gt;=50000,"Good","Average"))</f>
        <v>Average</v>
      </c>
      <c r="P371" s="1">
        <f>(H371*G371)*(I371/100)</f>
        <v>0</v>
      </c>
      <c r="Q371" s="1">
        <f ca="1">J371-Q371</f>
        <v>0</v>
      </c>
    </row>
    <row r="372" spans="1:17" x14ac:dyDescent="0.25">
      <c r="A372" s="1">
        <v>1279</v>
      </c>
      <c r="B372" s="1" t="s">
        <v>250</v>
      </c>
      <c r="C372" s="1" t="s">
        <v>30</v>
      </c>
      <c r="D372" s="1" t="s">
        <v>13</v>
      </c>
      <c r="E372" s="1" t="s">
        <v>28</v>
      </c>
      <c r="F372" s="1" t="s">
        <v>15</v>
      </c>
      <c r="G372" s="1">
        <v>10</v>
      </c>
      <c r="H372" s="1">
        <v>800</v>
      </c>
      <c r="I372" s="1">
        <v>0</v>
      </c>
      <c r="J372" s="1">
        <v>8000</v>
      </c>
      <c r="K372" s="1">
        <v>1487.14</v>
      </c>
      <c r="L372" s="1" t="str">
        <f>IF(K372&gt;=15000,"High Profit","Low Profit")</f>
        <v>Low Profit</v>
      </c>
      <c r="M372" s="1">
        <f>YEAR(B372)</f>
        <v>2026</v>
      </c>
      <c r="N372" s="1" t="str">
        <f>TEXT(B372,"mmmm")</f>
        <v>February</v>
      </c>
      <c r="O372" s="1" t="str">
        <f>IF(J372&gt;=100000,"Excellent", IF(J372&gt;=50000,"Good","Average"))</f>
        <v>Average</v>
      </c>
      <c r="P372" s="1">
        <f>(H372*G372)*(I372/100)</f>
        <v>0</v>
      </c>
      <c r="Q372" s="1">
        <f ca="1">J372-Q372</f>
        <v>0</v>
      </c>
    </row>
    <row r="373" spans="1:17" x14ac:dyDescent="0.25">
      <c r="A373" s="1">
        <v>1432</v>
      </c>
      <c r="B373" s="1" t="s">
        <v>322</v>
      </c>
      <c r="C373" s="1" t="s">
        <v>21</v>
      </c>
      <c r="D373" s="1" t="s">
        <v>27</v>
      </c>
      <c r="E373" s="1" t="s">
        <v>28</v>
      </c>
      <c r="F373" s="1" t="s">
        <v>15</v>
      </c>
      <c r="G373" s="1">
        <v>10</v>
      </c>
      <c r="H373" s="1">
        <v>800</v>
      </c>
      <c r="I373" s="1">
        <v>0</v>
      </c>
      <c r="J373" s="1">
        <v>8000</v>
      </c>
      <c r="K373" s="1">
        <v>1044.05</v>
      </c>
      <c r="L373" s="1" t="str">
        <f>IF(K373&gt;=15000,"High Profit","Low Profit")</f>
        <v>Low Profit</v>
      </c>
      <c r="M373" s="1">
        <f>YEAR(B373)</f>
        <v>2025</v>
      </c>
      <c r="N373" s="1" t="str">
        <f>TEXT(B373,"mmmm")</f>
        <v>July</v>
      </c>
      <c r="O373" s="1" t="str">
        <f>IF(J373&gt;=100000,"Excellent", IF(J373&gt;=50000,"Good","Average"))</f>
        <v>Average</v>
      </c>
      <c r="P373" s="1">
        <f>(H373*G373)*(I373/100)</f>
        <v>0</v>
      </c>
      <c r="Q373" s="1">
        <f ca="1">J373-Q373</f>
        <v>0</v>
      </c>
    </row>
    <row r="374" spans="1:17" x14ac:dyDescent="0.25">
      <c r="A374" s="1">
        <v>1491</v>
      </c>
      <c r="B374" s="1" t="s">
        <v>161</v>
      </c>
      <c r="C374" s="1" t="s">
        <v>26</v>
      </c>
      <c r="D374" s="1" t="s">
        <v>13</v>
      </c>
      <c r="E374" s="1" t="s">
        <v>28</v>
      </c>
      <c r="F374" s="1" t="s">
        <v>15</v>
      </c>
      <c r="G374" s="1">
        <v>10</v>
      </c>
      <c r="H374" s="1">
        <v>800</v>
      </c>
      <c r="I374" s="1">
        <v>0</v>
      </c>
      <c r="J374" s="1">
        <v>8000</v>
      </c>
      <c r="K374" s="1">
        <v>1075.5999999999999</v>
      </c>
      <c r="L374" s="1" t="str">
        <f>IF(K374&gt;=15000,"High Profit","Low Profit")</f>
        <v>Low Profit</v>
      </c>
      <c r="M374" s="1">
        <f>YEAR(B374)</f>
        <v>2025</v>
      </c>
      <c r="N374" s="1" t="str">
        <f>TEXT(B374,"mmmm")</f>
        <v>March</v>
      </c>
      <c r="O374" s="1" t="str">
        <f>IF(J374&gt;=100000,"Excellent", IF(J374&gt;=50000,"Good","Average"))</f>
        <v>Average</v>
      </c>
      <c r="P374" s="1">
        <f>(H374*G374)*(I374/100)</f>
        <v>0</v>
      </c>
      <c r="Q374" s="1">
        <f ca="1">J374-Q374</f>
        <v>0</v>
      </c>
    </row>
    <row r="375" spans="1:17" x14ac:dyDescent="0.25">
      <c r="A375" s="1">
        <v>1075</v>
      </c>
      <c r="B375" s="1" t="s">
        <v>100</v>
      </c>
      <c r="C375" s="1" t="s">
        <v>32</v>
      </c>
      <c r="D375" s="1" t="s">
        <v>17</v>
      </c>
      <c r="E375" s="1" t="s">
        <v>43</v>
      </c>
      <c r="F375" s="1" t="s">
        <v>24</v>
      </c>
      <c r="G375" s="1">
        <v>1</v>
      </c>
      <c r="H375" s="1">
        <v>9000</v>
      </c>
      <c r="I375" s="1">
        <v>15</v>
      </c>
      <c r="J375" s="1">
        <v>7650</v>
      </c>
      <c r="K375" s="1">
        <v>1276.3</v>
      </c>
      <c r="L375" s="1" t="str">
        <f>IF(K375&gt;=15000,"High Profit","Low Profit")</f>
        <v>Low Profit</v>
      </c>
      <c r="M375" s="1">
        <f>YEAR(B375)</f>
        <v>2026</v>
      </c>
      <c r="N375" s="1" t="str">
        <f>TEXT(B375,"mmmm")</f>
        <v>April</v>
      </c>
      <c r="O375" s="1" t="str">
        <f>IF(J375&gt;=100000,"Excellent", IF(J375&gt;=50000,"Good","Average"))</f>
        <v>Average</v>
      </c>
      <c r="P375" s="1">
        <f>(H375*G375)*(I375/100)</f>
        <v>1350</v>
      </c>
      <c r="Q375" s="1">
        <f ca="1">J375-Q375</f>
        <v>0</v>
      </c>
    </row>
    <row r="376" spans="1:17" x14ac:dyDescent="0.25">
      <c r="A376" s="1">
        <v>1168</v>
      </c>
      <c r="B376" s="1" t="s">
        <v>174</v>
      </c>
      <c r="C376" s="1" t="s">
        <v>47</v>
      </c>
      <c r="D376" s="1" t="s">
        <v>27</v>
      </c>
      <c r="E376" s="1" t="s">
        <v>14</v>
      </c>
      <c r="F376" s="1" t="s">
        <v>15</v>
      </c>
      <c r="G376" s="1">
        <v>6</v>
      </c>
      <c r="H376" s="1">
        <v>1500</v>
      </c>
      <c r="I376" s="1">
        <v>15</v>
      </c>
      <c r="J376" s="1">
        <v>7650</v>
      </c>
      <c r="K376" s="1">
        <v>1907.01</v>
      </c>
      <c r="L376" s="1" t="str">
        <f>IF(K376&gt;=15000,"High Profit","Low Profit")</f>
        <v>Low Profit</v>
      </c>
      <c r="M376" s="1">
        <f>YEAR(B376)</f>
        <v>2026</v>
      </c>
      <c r="N376" s="1" t="str">
        <f>TEXT(B376,"mmmm")</f>
        <v>April</v>
      </c>
      <c r="O376" s="1" t="str">
        <f>IF(J376&gt;=100000,"Excellent", IF(J376&gt;=50000,"Good","Average"))</f>
        <v>Average</v>
      </c>
      <c r="P376" s="1">
        <f>(H376*G376)*(I376/100)</f>
        <v>1350</v>
      </c>
      <c r="Q376" s="1">
        <f ca="1">J376-Q376</f>
        <v>0</v>
      </c>
    </row>
    <row r="377" spans="1:17" x14ac:dyDescent="0.25">
      <c r="A377" s="1">
        <v>1367</v>
      </c>
      <c r="B377" s="1" t="s">
        <v>295</v>
      </c>
      <c r="C377" s="1" t="s">
        <v>30</v>
      </c>
      <c r="D377" s="1" t="s">
        <v>17</v>
      </c>
      <c r="E377" s="1" t="s">
        <v>43</v>
      </c>
      <c r="F377" s="1" t="s">
        <v>24</v>
      </c>
      <c r="G377" s="1">
        <v>1</v>
      </c>
      <c r="H377" s="1">
        <v>9000</v>
      </c>
      <c r="I377" s="1">
        <v>15</v>
      </c>
      <c r="J377" s="1">
        <v>7650</v>
      </c>
      <c r="K377" s="1">
        <v>1350.71</v>
      </c>
      <c r="L377" s="1" t="str">
        <f>IF(K377&gt;=15000,"High Profit","Low Profit")</f>
        <v>Low Profit</v>
      </c>
      <c r="M377" s="1">
        <f>YEAR(B377)</f>
        <v>2026</v>
      </c>
      <c r="N377" s="1" t="str">
        <f>TEXT(B377,"mmmm")</f>
        <v>March</v>
      </c>
      <c r="O377" s="1" t="str">
        <f>IF(J377&gt;=100000,"Excellent", IF(J377&gt;=50000,"Good","Average"))</f>
        <v>Average</v>
      </c>
      <c r="P377" s="1">
        <f>(H377*G377)*(I377/100)</f>
        <v>1350</v>
      </c>
      <c r="Q377" s="1">
        <f ca="1">J377-Q377</f>
        <v>0</v>
      </c>
    </row>
    <row r="378" spans="1:17" x14ac:dyDescent="0.25">
      <c r="A378" s="1">
        <v>1486</v>
      </c>
      <c r="B378" s="1" t="s">
        <v>131</v>
      </c>
      <c r="C378" s="1" t="s">
        <v>32</v>
      </c>
      <c r="D378" s="1" t="s">
        <v>27</v>
      </c>
      <c r="E378" s="1" t="s">
        <v>14</v>
      </c>
      <c r="F378" s="1" t="s">
        <v>15</v>
      </c>
      <c r="G378" s="1">
        <v>6</v>
      </c>
      <c r="H378" s="1">
        <v>1500</v>
      </c>
      <c r="I378" s="1">
        <v>15</v>
      </c>
      <c r="J378" s="1">
        <v>7650</v>
      </c>
      <c r="K378" s="1">
        <v>900.08</v>
      </c>
      <c r="L378" s="1" t="str">
        <f>IF(K378&gt;=15000,"High Profit","Low Profit")</f>
        <v>Low Profit</v>
      </c>
      <c r="M378" s="1">
        <f>YEAR(B378)</f>
        <v>2026</v>
      </c>
      <c r="N378" s="1" t="str">
        <f>TEXT(B378,"mmmm")</f>
        <v>June</v>
      </c>
      <c r="O378" s="1" t="str">
        <f>IF(J378&gt;=100000,"Excellent", IF(J378&gt;=50000,"Good","Average"))</f>
        <v>Average</v>
      </c>
      <c r="P378" s="1">
        <f>(H378*G378)*(I378/100)</f>
        <v>1350</v>
      </c>
      <c r="Q378" s="1">
        <f ca="1">J378-Q378</f>
        <v>0</v>
      </c>
    </row>
    <row r="379" spans="1:17" x14ac:dyDescent="0.25">
      <c r="A379" s="1">
        <v>1117</v>
      </c>
      <c r="B379" s="1" t="s">
        <v>140</v>
      </c>
      <c r="C379" s="1" t="s">
        <v>45</v>
      </c>
      <c r="D379" s="1" t="s">
        <v>13</v>
      </c>
      <c r="E379" s="1" t="s">
        <v>28</v>
      </c>
      <c r="F379" s="1" t="s">
        <v>15</v>
      </c>
      <c r="G379" s="1">
        <v>10</v>
      </c>
      <c r="H379" s="1">
        <v>800</v>
      </c>
      <c r="I379" s="1">
        <v>5</v>
      </c>
      <c r="J379" s="1">
        <v>7600</v>
      </c>
      <c r="K379" s="1">
        <v>1071.08</v>
      </c>
      <c r="L379" s="1" t="str">
        <f>IF(K379&gt;=15000,"High Profit","Low Profit")</f>
        <v>Low Profit</v>
      </c>
      <c r="M379" s="1">
        <f>YEAR(B379)</f>
        <v>2026</v>
      </c>
      <c r="N379" s="1" t="str">
        <f>TEXT(B379,"mmmm")</f>
        <v>March</v>
      </c>
      <c r="O379" s="1" t="str">
        <f>IF(J379&gt;=100000,"Excellent", IF(J379&gt;=50000,"Good","Average"))</f>
        <v>Average</v>
      </c>
      <c r="P379" s="1">
        <f>(H379*G379)*(I379/100)</f>
        <v>400</v>
      </c>
      <c r="Q379" s="1">
        <f ca="1">J379-Q379</f>
        <v>0</v>
      </c>
    </row>
    <row r="380" spans="1:17" x14ac:dyDescent="0.25">
      <c r="A380" s="1">
        <v>1005</v>
      </c>
      <c r="B380" s="1" t="s">
        <v>29</v>
      </c>
      <c r="C380" s="1" t="s">
        <v>30</v>
      </c>
      <c r="D380" s="1" t="s">
        <v>22</v>
      </c>
      <c r="E380" s="1" t="s">
        <v>14</v>
      </c>
      <c r="F380" s="1" t="s">
        <v>15</v>
      </c>
      <c r="G380" s="1">
        <v>5</v>
      </c>
      <c r="H380" s="1">
        <v>1500</v>
      </c>
      <c r="I380" s="1">
        <v>0</v>
      </c>
      <c r="J380" s="1">
        <v>7500</v>
      </c>
      <c r="K380" s="1">
        <v>961.67</v>
      </c>
      <c r="L380" s="1" t="str">
        <f>IF(K380&gt;=15000,"High Profit","Low Profit")</f>
        <v>Low Profit</v>
      </c>
      <c r="M380" s="1">
        <f>YEAR(B380)</f>
        <v>2025</v>
      </c>
      <c r="N380" s="1" t="str">
        <f>TEXT(B380,"mmmm")</f>
        <v>September</v>
      </c>
      <c r="O380" s="1" t="str">
        <f>IF(J380&gt;=100000,"Excellent", IF(J380&gt;=50000,"Good","Average"))</f>
        <v>Average</v>
      </c>
      <c r="P380" s="1">
        <f>(H380*G380)*(I380/100)</f>
        <v>0</v>
      </c>
      <c r="Q380" s="1">
        <f ca="1">J380-Q380</f>
        <v>0</v>
      </c>
    </row>
    <row r="381" spans="1:17" x14ac:dyDescent="0.25">
      <c r="A381" s="1">
        <v>1325</v>
      </c>
      <c r="B381" s="1" t="s">
        <v>277</v>
      </c>
      <c r="C381" s="1" t="s">
        <v>36</v>
      </c>
      <c r="D381" s="1" t="s">
        <v>17</v>
      </c>
      <c r="E381" s="1" t="s">
        <v>14</v>
      </c>
      <c r="F381" s="1" t="s">
        <v>15</v>
      </c>
      <c r="G381" s="1">
        <v>5</v>
      </c>
      <c r="H381" s="1">
        <v>1500</v>
      </c>
      <c r="I381" s="1">
        <v>0</v>
      </c>
      <c r="J381" s="1">
        <v>7500</v>
      </c>
      <c r="K381" s="1">
        <v>1009.1</v>
      </c>
      <c r="L381" s="1" t="str">
        <f>IF(K381&gt;=15000,"High Profit","Low Profit")</f>
        <v>Low Profit</v>
      </c>
      <c r="M381" s="1">
        <f>YEAR(B381)</f>
        <v>2025</v>
      </c>
      <c r="N381" s="1" t="str">
        <f>TEXT(B381,"mmmm")</f>
        <v>July</v>
      </c>
      <c r="O381" s="1" t="str">
        <f>IF(J381&gt;=100000,"Excellent", IF(J381&gt;=50000,"Good","Average"))</f>
        <v>Average</v>
      </c>
      <c r="P381" s="1">
        <f>(H381*G381)*(I381/100)</f>
        <v>0</v>
      </c>
      <c r="Q381" s="1">
        <f ca="1">J381-Q381</f>
        <v>0</v>
      </c>
    </row>
    <row r="382" spans="1:17" x14ac:dyDescent="0.25">
      <c r="A382" s="1">
        <v>1016</v>
      </c>
      <c r="B382" s="1" t="s">
        <v>29</v>
      </c>
      <c r="C382" s="1" t="s">
        <v>39</v>
      </c>
      <c r="D382" s="1" t="s">
        <v>22</v>
      </c>
      <c r="E382" s="1" t="s">
        <v>28</v>
      </c>
      <c r="F382" s="1" t="s">
        <v>15</v>
      </c>
      <c r="G382" s="1">
        <v>10</v>
      </c>
      <c r="H382" s="1">
        <v>800</v>
      </c>
      <c r="I382" s="1">
        <v>10</v>
      </c>
      <c r="J382" s="1">
        <v>7200</v>
      </c>
      <c r="K382" s="1">
        <v>1247.17</v>
      </c>
      <c r="L382" s="1" t="str">
        <f>IF(K382&gt;=15000,"High Profit","Low Profit")</f>
        <v>Low Profit</v>
      </c>
      <c r="M382" s="1">
        <f>YEAR(B382)</f>
        <v>2025</v>
      </c>
      <c r="N382" s="1" t="str">
        <f>TEXT(B382,"mmmm")</f>
        <v>September</v>
      </c>
      <c r="O382" s="1" t="str">
        <f>IF(J382&gt;=100000,"Excellent", IF(J382&gt;=50000,"Good","Average"))</f>
        <v>Average</v>
      </c>
      <c r="P382" s="1">
        <f>(H382*G382)*(I382/100)</f>
        <v>800</v>
      </c>
      <c r="Q382" s="1">
        <f ca="1">J382-Q382</f>
        <v>0</v>
      </c>
    </row>
    <row r="383" spans="1:17" x14ac:dyDescent="0.25">
      <c r="A383" s="1">
        <v>1031</v>
      </c>
      <c r="B383" s="1" t="s">
        <v>61</v>
      </c>
      <c r="C383" s="1" t="s">
        <v>32</v>
      </c>
      <c r="D383" s="1" t="s">
        <v>17</v>
      </c>
      <c r="E383" s="1" t="s">
        <v>14</v>
      </c>
      <c r="F383" s="1" t="s">
        <v>15</v>
      </c>
      <c r="G383" s="1">
        <v>6</v>
      </c>
      <c r="H383" s="1">
        <v>1500</v>
      </c>
      <c r="I383" s="1">
        <v>20</v>
      </c>
      <c r="J383" s="1">
        <v>7200</v>
      </c>
      <c r="K383" s="1">
        <v>998.86</v>
      </c>
      <c r="L383" s="1" t="str">
        <f>IF(K383&gt;=15000,"High Profit","Low Profit")</f>
        <v>Low Profit</v>
      </c>
      <c r="M383" s="1">
        <f>YEAR(B383)</f>
        <v>2025</v>
      </c>
      <c r="N383" s="1" t="str">
        <f>TEXT(B383,"mmmm")</f>
        <v>November</v>
      </c>
      <c r="O383" s="1" t="str">
        <f>IF(J383&gt;=100000,"Excellent", IF(J383&gt;=50000,"Good","Average"))</f>
        <v>Average</v>
      </c>
      <c r="P383" s="1">
        <f>(H383*G383)*(I383/100)</f>
        <v>1800</v>
      </c>
      <c r="Q383" s="1">
        <f ca="1">J383-Q383</f>
        <v>0</v>
      </c>
    </row>
    <row r="384" spans="1:17" x14ac:dyDescent="0.25">
      <c r="A384" s="1">
        <v>1172</v>
      </c>
      <c r="B384" s="1" t="s">
        <v>177</v>
      </c>
      <c r="C384" s="1" t="s">
        <v>21</v>
      </c>
      <c r="D384" s="1" t="s">
        <v>13</v>
      </c>
      <c r="E384" s="1" t="s">
        <v>28</v>
      </c>
      <c r="F384" s="1" t="s">
        <v>15</v>
      </c>
      <c r="G384" s="1">
        <v>9</v>
      </c>
      <c r="H384" s="1">
        <v>800</v>
      </c>
      <c r="I384" s="1">
        <v>0</v>
      </c>
      <c r="J384" s="1">
        <v>7200</v>
      </c>
      <c r="K384" s="1">
        <v>1358.79</v>
      </c>
      <c r="L384" s="1" t="str">
        <f>IF(K384&gt;=15000,"High Profit","Low Profit")</f>
        <v>Low Profit</v>
      </c>
      <c r="M384" s="1">
        <f>YEAR(B384)</f>
        <v>2026</v>
      </c>
      <c r="N384" s="1" t="str">
        <f>TEXT(B384,"mmmm")</f>
        <v>March</v>
      </c>
      <c r="O384" s="1" t="str">
        <f>IF(J384&gt;=100000,"Excellent", IF(J384&gt;=50000,"Good","Average"))</f>
        <v>Average</v>
      </c>
      <c r="P384" s="1">
        <f>(H384*G384)*(I384/100)</f>
        <v>0</v>
      </c>
      <c r="Q384" s="1">
        <f ca="1">J384-Q384</f>
        <v>0</v>
      </c>
    </row>
    <row r="385" spans="1:17" x14ac:dyDescent="0.25">
      <c r="A385" s="1">
        <v>1285</v>
      </c>
      <c r="B385" s="1" t="s">
        <v>254</v>
      </c>
      <c r="C385" s="1" t="s">
        <v>47</v>
      </c>
      <c r="D385" s="1" t="s">
        <v>22</v>
      </c>
      <c r="E385" s="1" t="s">
        <v>43</v>
      </c>
      <c r="F385" s="1" t="s">
        <v>24</v>
      </c>
      <c r="G385" s="1">
        <v>1</v>
      </c>
      <c r="H385" s="1">
        <v>9000</v>
      </c>
      <c r="I385" s="1">
        <v>20</v>
      </c>
      <c r="J385" s="1">
        <v>7200</v>
      </c>
      <c r="K385" s="1">
        <v>748.74</v>
      </c>
      <c r="L385" s="1" t="str">
        <f>IF(K385&gt;=15000,"High Profit","Low Profit")</f>
        <v>Low Profit</v>
      </c>
      <c r="M385" s="1">
        <f>YEAR(B385)</f>
        <v>2025</v>
      </c>
      <c r="N385" s="1" t="str">
        <f>TEXT(B385,"mmmm")</f>
        <v>February</v>
      </c>
      <c r="O385" s="1" t="str">
        <f>IF(J385&gt;=100000,"Excellent", IF(J385&gt;=50000,"Good","Average"))</f>
        <v>Average</v>
      </c>
      <c r="P385" s="1">
        <f>(H385*G385)*(I385/100)</f>
        <v>1800</v>
      </c>
      <c r="Q385" s="1">
        <f ca="1">J385-Q385</f>
        <v>0</v>
      </c>
    </row>
    <row r="386" spans="1:17" x14ac:dyDescent="0.25">
      <c r="A386" s="1">
        <v>1376</v>
      </c>
      <c r="B386" s="1" t="s">
        <v>151</v>
      </c>
      <c r="C386" s="1" t="s">
        <v>45</v>
      </c>
      <c r="D386" s="1" t="s">
        <v>13</v>
      </c>
      <c r="E386" s="1" t="s">
        <v>28</v>
      </c>
      <c r="F386" s="1" t="s">
        <v>15</v>
      </c>
      <c r="G386" s="1">
        <v>10</v>
      </c>
      <c r="H386" s="1">
        <v>800</v>
      </c>
      <c r="I386" s="1">
        <v>10</v>
      </c>
      <c r="J386" s="1">
        <v>7200</v>
      </c>
      <c r="K386" s="1">
        <v>964.06</v>
      </c>
      <c r="L386" s="1" t="str">
        <f>IF(K386&gt;=15000,"High Profit","Low Profit")</f>
        <v>Low Profit</v>
      </c>
      <c r="M386" s="1">
        <f>YEAR(B386)</f>
        <v>2025</v>
      </c>
      <c r="N386" s="1" t="str">
        <f>TEXT(B386,"mmmm")</f>
        <v>August</v>
      </c>
      <c r="O386" s="1" t="str">
        <f>IF(J386&gt;=100000,"Excellent", IF(J386&gt;=50000,"Good","Average"))</f>
        <v>Average</v>
      </c>
      <c r="P386" s="1">
        <f>(H386*G386)*(I386/100)</f>
        <v>800</v>
      </c>
      <c r="Q386" s="1">
        <f ca="1">J386-Q386</f>
        <v>0</v>
      </c>
    </row>
    <row r="387" spans="1:17" x14ac:dyDescent="0.25">
      <c r="A387" s="1">
        <v>1420</v>
      </c>
      <c r="B387" s="1" t="s">
        <v>287</v>
      </c>
      <c r="C387" s="1" t="s">
        <v>41</v>
      </c>
      <c r="D387" s="1" t="s">
        <v>27</v>
      </c>
      <c r="E387" s="1" t="s">
        <v>28</v>
      </c>
      <c r="F387" s="1" t="s">
        <v>15</v>
      </c>
      <c r="G387" s="1">
        <v>9</v>
      </c>
      <c r="H387" s="1">
        <v>800</v>
      </c>
      <c r="I387" s="1">
        <v>0</v>
      </c>
      <c r="J387" s="1">
        <v>7200</v>
      </c>
      <c r="K387" s="1">
        <v>955.1</v>
      </c>
      <c r="L387" s="1" t="str">
        <f>IF(K387&gt;=15000,"High Profit","Low Profit")</f>
        <v>Low Profit</v>
      </c>
      <c r="M387" s="1">
        <f>YEAR(B387)</f>
        <v>2025</v>
      </c>
      <c r="N387" s="1" t="str">
        <f>TEXT(B387,"mmmm")</f>
        <v>May</v>
      </c>
      <c r="O387" s="1" t="str">
        <f>IF(J387&gt;=100000,"Excellent", IF(J387&gt;=50000,"Good","Average"))</f>
        <v>Average</v>
      </c>
      <c r="P387" s="1">
        <f>(H387*G387)*(I387/100)</f>
        <v>0</v>
      </c>
      <c r="Q387" s="1">
        <f ca="1">J387-Q387</f>
        <v>0</v>
      </c>
    </row>
    <row r="388" spans="1:17" x14ac:dyDescent="0.25">
      <c r="A388" s="1">
        <v>1448</v>
      </c>
      <c r="B388" s="1" t="s">
        <v>146</v>
      </c>
      <c r="C388" s="1" t="s">
        <v>32</v>
      </c>
      <c r="D388" s="1" t="s">
        <v>13</v>
      </c>
      <c r="E388" s="1" t="s">
        <v>14</v>
      </c>
      <c r="F388" s="1" t="s">
        <v>15</v>
      </c>
      <c r="G388" s="1">
        <v>5</v>
      </c>
      <c r="H388" s="1">
        <v>1500</v>
      </c>
      <c r="I388" s="1">
        <v>5</v>
      </c>
      <c r="J388" s="1">
        <v>7125</v>
      </c>
      <c r="K388" s="1">
        <v>607.32000000000005</v>
      </c>
      <c r="L388" s="1" t="str">
        <f>IF(K388&gt;=15000,"High Profit","Low Profit")</f>
        <v>Low Profit</v>
      </c>
      <c r="M388" s="1">
        <f>YEAR(B388)</f>
        <v>2026</v>
      </c>
      <c r="N388" s="1" t="str">
        <f>TEXT(B388,"mmmm")</f>
        <v>May</v>
      </c>
      <c r="O388" s="1" t="str">
        <f>IF(J388&gt;=100000,"Excellent", IF(J388&gt;=50000,"Good","Average"))</f>
        <v>Average</v>
      </c>
      <c r="P388" s="1">
        <f>(H388*G388)*(I388/100)</f>
        <v>375</v>
      </c>
      <c r="Q388" s="1">
        <f ca="1">J388-Q388</f>
        <v>0</v>
      </c>
    </row>
    <row r="389" spans="1:17" x14ac:dyDescent="0.25">
      <c r="A389" s="1">
        <v>1461</v>
      </c>
      <c r="B389" s="1" t="s">
        <v>334</v>
      </c>
      <c r="C389" s="1" t="s">
        <v>45</v>
      </c>
      <c r="D389" s="1" t="s">
        <v>13</v>
      </c>
      <c r="E389" s="1" t="s">
        <v>14</v>
      </c>
      <c r="F389" s="1" t="s">
        <v>15</v>
      </c>
      <c r="G389" s="1">
        <v>5</v>
      </c>
      <c r="H389" s="1">
        <v>1500</v>
      </c>
      <c r="I389" s="1">
        <v>5</v>
      </c>
      <c r="J389" s="1">
        <v>7125</v>
      </c>
      <c r="K389" s="1">
        <v>963.22</v>
      </c>
      <c r="L389" s="1" t="str">
        <f>IF(K389&gt;=15000,"High Profit","Low Profit")</f>
        <v>Low Profit</v>
      </c>
      <c r="M389" s="1">
        <f>YEAR(B389)</f>
        <v>2025</v>
      </c>
      <c r="N389" s="1" t="str">
        <f>TEXT(B389,"mmmm")</f>
        <v>May</v>
      </c>
      <c r="O389" s="1" t="str">
        <f>IF(J389&gt;=100000,"Excellent", IF(J389&gt;=50000,"Good","Average"))</f>
        <v>Average</v>
      </c>
      <c r="P389" s="1">
        <f>(H389*G389)*(I389/100)</f>
        <v>375</v>
      </c>
      <c r="Q389" s="1">
        <f ca="1">J389-Q389</f>
        <v>0</v>
      </c>
    </row>
    <row r="390" spans="1:17" x14ac:dyDescent="0.25">
      <c r="A390" s="1">
        <v>1081</v>
      </c>
      <c r="B390" s="1" t="s">
        <v>105</v>
      </c>
      <c r="C390" s="1" t="s">
        <v>12</v>
      </c>
      <c r="D390" s="1" t="s">
        <v>27</v>
      </c>
      <c r="E390" s="1" t="s">
        <v>14</v>
      </c>
      <c r="F390" s="1" t="s">
        <v>15</v>
      </c>
      <c r="G390" s="1">
        <v>5</v>
      </c>
      <c r="H390" s="1">
        <v>1500</v>
      </c>
      <c r="I390" s="1">
        <v>10</v>
      </c>
      <c r="J390" s="1">
        <v>6750</v>
      </c>
      <c r="K390" s="1">
        <v>1582.71</v>
      </c>
      <c r="L390" s="1" t="str">
        <f>IF(K390&gt;=15000,"High Profit","Low Profit")</f>
        <v>Low Profit</v>
      </c>
      <c r="M390" s="1">
        <f>YEAR(B390)</f>
        <v>2025</v>
      </c>
      <c r="N390" s="1" t="str">
        <f>TEXT(B390,"mmmm")</f>
        <v>January</v>
      </c>
      <c r="O390" s="1" t="str">
        <f>IF(J390&gt;=100000,"Excellent", IF(J390&gt;=50000,"Good","Average"))</f>
        <v>Average</v>
      </c>
      <c r="P390" s="1">
        <f>(H390*G390)*(I390/100)</f>
        <v>750</v>
      </c>
      <c r="Q390" s="1">
        <f ca="1">J390-Q390</f>
        <v>0</v>
      </c>
    </row>
    <row r="391" spans="1:17" x14ac:dyDescent="0.25">
      <c r="A391" s="1">
        <v>1224</v>
      </c>
      <c r="B391" s="1" t="s">
        <v>179</v>
      </c>
      <c r="C391" s="1" t="s">
        <v>30</v>
      </c>
      <c r="D391" s="1" t="s">
        <v>13</v>
      </c>
      <c r="E391" s="1" t="s">
        <v>18</v>
      </c>
      <c r="F391" s="1" t="s">
        <v>19</v>
      </c>
      <c r="G391" s="1">
        <v>1</v>
      </c>
      <c r="H391" s="1">
        <v>7000</v>
      </c>
      <c r="I391" s="1">
        <v>5</v>
      </c>
      <c r="J391" s="1">
        <v>6650</v>
      </c>
      <c r="K391" s="1">
        <v>618.83000000000004</v>
      </c>
      <c r="L391" s="1" t="str">
        <f>IF(K391&gt;=15000,"High Profit","Low Profit")</f>
        <v>Low Profit</v>
      </c>
      <c r="M391" s="1">
        <f>YEAR(B391)</f>
        <v>2025</v>
      </c>
      <c r="N391" s="1" t="str">
        <f>TEXT(B391,"mmmm")</f>
        <v>March</v>
      </c>
      <c r="O391" s="1" t="str">
        <f>IF(J391&gt;=100000,"Excellent", IF(J391&gt;=50000,"Good","Average"))</f>
        <v>Average</v>
      </c>
      <c r="P391" s="1">
        <f>(H391*G391)*(I391/100)</f>
        <v>350</v>
      </c>
      <c r="Q391" s="1">
        <f ca="1">J391-Q391</f>
        <v>0</v>
      </c>
    </row>
    <row r="392" spans="1:17" x14ac:dyDescent="0.25">
      <c r="A392" s="1">
        <v>1030</v>
      </c>
      <c r="B392" s="1" t="s">
        <v>60</v>
      </c>
      <c r="C392" s="1" t="s">
        <v>45</v>
      </c>
      <c r="D392" s="1" t="s">
        <v>13</v>
      </c>
      <c r="E392" s="1" t="s">
        <v>28</v>
      </c>
      <c r="F392" s="1" t="s">
        <v>15</v>
      </c>
      <c r="G392" s="1">
        <v>10</v>
      </c>
      <c r="H392" s="1">
        <v>800</v>
      </c>
      <c r="I392" s="1">
        <v>20</v>
      </c>
      <c r="J392" s="1">
        <v>6400</v>
      </c>
      <c r="K392" s="1">
        <v>550.73</v>
      </c>
      <c r="L392" s="1" t="str">
        <f>IF(K392&gt;=15000,"High Profit","Low Profit")</f>
        <v>Low Profit</v>
      </c>
      <c r="M392" s="1">
        <f>YEAR(B392)</f>
        <v>2025</v>
      </c>
      <c r="N392" s="1" t="str">
        <f>TEXT(B392,"mmmm")</f>
        <v>March</v>
      </c>
      <c r="O392" s="1" t="str">
        <f>IF(J392&gt;=100000,"Excellent", IF(J392&gt;=50000,"Good","Average"))</f>
        <v>Average</v>
      </c>
      <c r="P392" s="1">
        <f>(H392*G392)*(I392/100)</f>
        <v>1600</v>
      </c>
      <c r="Q392" s="1">
        <f ca="1">J392-Q392</f>
        <v>0</v>
      </c>
    </row>
    <row r="393" spans="1:17" x14ac:dyDescent="0.25">
      <c r="A393" s="1">
        <v>1073</v>
      </c>
      <c r="B393" s="1" t="s">
        <v>98</v>
      </c>
      <c r="C393" s="1" t="s">
        <v>12</v>
      </c>
      <c r="D393" s="1" t="s">
        <v>27</v>
      </c>
      <c r="E393" s="1" t="s">
        <v>28</v>
      </c>
      <c r="F393" s="1" t="s">
        <v>15</v>
      </c>
      <c r="G393" s="1">
        <v>8</v>
      </c>
      <c r="H393" s="1">
        <v>800</v>
      </c>
      <c r="I393" s="1">
        <v>0</v>
      </c>
      <c r="J393" s="1">
        <v>6400</v>
      </c>
      <c r="K393" s="1">
        <v>1420.99</v>
      </c>
      <c r="L393" s="1" t="str">
        <f>IF(K393&gt;=15000,"High Profit","Low Profit")</f>
        <v>Low Profit</v>
      </c>
      <c r="M393" s="1">
        <f>YEAR(B393)</f>
        <v>2025</v>
      </c>
      <c r="N393" s="1" t="str">
        <f>TEXT(B393,"mmmm")</f>
        <v>October</v>
      </c>
      <c r="O393" s="1" t="str">
        <f>IF(J393&gt;=100000,"Excellent", IF(J393&gt;=50000,"Good","Average"))</f>
        <v>Average</v>
      </c>
      <c r="P393" s="1">
        <f>(H393*G393)*(I393/100)</f>
        <v>0</v>
      </c>
      <c r="Q393" s="1">
        <f ca="1">J393-Q393</f>
        <v>0</v>
      </c>
    </row>
    <row r="394" spans="1:17" x14ac:dyDescent="0.25">
      <c r="A394" s="1">
        <v>1298</v>
      </c>
      <c r="B394" s="1" t="s">
        <v>87</v>
      </c>
      <c r="C394" s="1" t="s">
        <v>47</v>
      </c>
      <c r="D394" s="1" t="s">
        <v>17</v>
      </c>
      <c r="E394" s="1" t="s">
        <v>28</v>
      </c>
      <c r="F394" s="1" t="s">
        <v>15</v>
      </c>
      <c r="G394" s="1">
        <v>8</v>
      </c>
      <c r="H394" s="1">
        <v>800</v>
      </c>
      <c r="I394" s="1">
        <v>0</v>
      </c>
      <c r="J394" s="1">
        <v>6400</v>
      </c>
      <c r="K394" s="1">
        <v>1504.79</v>
      </c>
      <c r="L394" s="1" t="str">
        <f>IF(K394&gt;=15000,"High Profit","Low Profit")</f>
        <v>Low Profit</v>
      </c>
      <c r="M394" s="1">
        <f>YEAR(B394)</f>
        <v>2025</v>
      </c>
      <c r="N394" s="1" t="str">
        <f>TEXT(B394,"mmmm")</f>
        <v>January</v>
      </c>
      <c r="O394" s="1" t="str">
        <f>IF(J394&gt;=100000,"Excellent", IF(J394&gt;=50000,"Good","Average"))</f>
        <v>Average</v>
      </c>
      <c r="P394" s="1">
        <f>(H394*G394)*(I394/100)</f>
        <v>0</v>
      </c>
      <c r="Q394" s="1">
        <f ca="1">J394-Q394</f>
        <v>0</v>
      </c>
    </row>
    <row r="395" spans="1:17" x14ac:dyDescent="0.25">
      <c r="A395" s="1">
        <v>1194</v>
      </c>
      <c r="B395" s="1" t="s">
        <v>194</v>
      </c>
      <c r="C395" s="1" t="s">
        <v>41</v>
      </c>
      <c r="D395" s="1" t="s">
        <v>13</v>
      </c>
      <c r="E395" s="1" t="s">
        <v>18</v>
      </c>
      <c r="F395" s="1" t="s">
        <v>19</v>
      </c>
      <c r="G395" s="1">
        <v>1</v>
      </c>
      <c r="H395" s="1">
        <v>7000</v>
      </c>
      <c r="I395" s="1">
        <v>10</v>
      </c>
      <c r="J395" s="1">
        <v>6300</v>
      </c>
      <c r="K395" s="1">
        <v>1205.04</v>
      </c>
      <c r="L395" s="1" t="str">
        <f>IF(K395&gt;=15000,"High Profit","Low Profit")</f>
        <v>Low Profit</v>
      </c>
      <c r="M395" s="1">
        <f>YEAR(B395)</f>
        <v>2026</v>
      </c>
      <c r="N395" s="1" t="str">
        <f>TEXT(B395,"mmmm")</f>
        <v>June</v>
      </c>
      <c r="O395" s="1" t="str">
        <f>IF(J395&gt;=100000,"Excellent", IF(J395&gt;=50000,"Good","Average"))</f>
        <v>Average</v>
      </c>
      <c r="P395" s="1">
        <f>(H395*G395)*(I395/100)</f>
        <v>700</v>
      </c>
      <c r="Q395" s="1">
        <f ca="1">J395-Q395</f>
        <v>0</v>
      </c>
    </row>
    <row r="396" spans="1:17" x14ac:dyDescent="0.25">
      <c r="A396" s="1">
        <v>1234</v>
      </c>
      <c r="B396" s="1" t="s">
        <v>218</v>
      </c>
      <c r="C396" s="1" t="s">
        <v>36</v>
      </c>
      <c r="D396" s="1" t="s">
        <v>13</v>
      </c>
      <c r="E396" s="1" t="s">
        <v>18</v>
      </c>
      <c r="F396" s="1" t="s">
        <v>19</v>
      </c>
      <c r="G396" s="1">
        <v>1</v>
      </c>
      <c r="H396" s="1">
        <v>7000</v>
      </c>
      <c r="I396" s="1">
        <v>10</v>
      </c>
      <c r="J396" s="1">
        <v>6300</v>
      </c>
      <c r="K396" s="1">
        <v>971.9</v>
      </c>
      <c r="L396" s="1" t="str">
        <f>IF(K396&gt;=15000,"High Profit","Low Profit")</f>
        <v>Low Profit</v>
      </c>
      <c r="M396" s="1">
        <f>YEAR(B396)</f>
        <v>2025</v>
      </c>
      <c r="N396" s="1" t="str">
        <f>TEXT(B396,"mmmm")</f>
        <v>November</v>
      </c>
      <c r="O396" s="1" t="str">
        <f>IF(J396&gt;=100000,"Excellent", IF(J396&gt;=50000,"Good","Average"))</f>
        <v>Average</v>
      </c>
      <c r="P396" s="1">
        <f>(H396*G396)*(I396/100)</f>
        <v>700</v>
      </c>
      <c r="Q396" s="1">
        <f ca="1">J396-Q396</f>
        <v>0</v>
      </c>
    </row>
    <row r="397" spans="1:17" x14ac:dyDescent="0.25">
      <c r="A397" s="1">
        <v>1143</v>
      </c>
      <c r="B397" s="1" t="s">
        <v>159</v>
      </c>
      <c r="C397" s="1" t="s">
        <v>32</v>
      </c>
      <c r="D397" s="1" t="s">
        <v>27</v>
      </c>
      <c r="E397" s="1" t="s">
        <v>28</v>
      </c>
      <c r="F397" s="1" t="s">
        <v>15</v>
      </c>
      <c r="G397" s="1">
        <v>9</v>
      </c>
      <c r="H397" s="1">
        <v>800</v>
      </c>
      <c r="I397" s="1">
        <v>15</v>
      </c>
      <c r="J397" s="1">
        <v>6120</v>
      </c>
      <c r="K397" s="1">
        <v>681.27</v>
      </c>
      <c r="L397" s="1" t="str">
        <f>IF(K397&gt;=15000,"High Profit","Low Profit")</f>
        <v>Low Profit</v>
      </c>
      <c r="M397" s="1">
        <f>YEAR(B397)</f>
        <v>2025</v>
      </c>
      <c r="N397" s="1" t="str">
        <f>TEXT(B397,"mmmm")</f>
        <v>March</v>
      </c>
      <c r="O397" s="1" t="str">
        <f>IF(J397&gt;=100000,"Excellent", IF(J397&gt;=50000,"Good","Average"))</f>
        <v>Average</v>
      </c>
      <c r="P397" s="1">
        <f>(H397*G397)*(I397/100)</f>
        <v>1080</v>
      </c>
      <c r="Q397" s="1">
        <f ca="1">J397-Q397</f>
        <v>0</v>
      </c>
    </row>
    <row r="398" spans="1:17" x14ac:dyDescent="0.25">
      <c r="A398" s="1">
        <v>1345</v>
      </c>
      <c r="B398" s="1" t="s">
        <v>242</v>
      </c>
      <c r="C398" s="1" t="s">
        <v>41</v>
      </c>
      <c r="D398" s="1" t="s">
        <v>17</v>
      </c>
      <c r="E398" s="1" t="s">
        <v>14</v>
      </c>
      <c r="F398" s="1" t="s">
        <v>15</v>
      </c>
      <c r="G398" s="1">
        <v>4</v>
      </c>
      <c r="H398" s="1">
        <v>1500</v>
      </c>
      <c r="I398" s="1">
        <v>0</v>
      </c>
      <c r="J398" s="1">
        <v>6000</v>
      </c>
      <c r="K398" s="1">
        <v>1407.91</v>
      </c>
      <c r="L398" s="1" t="str">
        <f>IF(K398&gt;=15000,"High Profit","Low Profit")</f>
        <v>Low Profit</v>
      </c>
      <c r="M398" s="1">
        <f>YEAR(B398)</f>
        <v>2026</v>
      </c>
      <c r="N398" s="1" t="str">
        <f>TEXT(B398,"mmmm")</f>
        <v>February</v>
      </c>
      <c r="O398" s="1" t="str">
        <f>IF(J398&gt;=100000,"Excellent", IF(J398&gt;=50000,"Good","Average"))</f>
        <v>Average</v>
      </c>
      <c r="P398" s="1">
        <f>(H398*G398)*(I398/100)</f>
        <v>0</v>
      </c>
      <c r="Q398" s="1">
        <f ca="1">J398-Q398</f>
        <v>0</v>
      </c>
    </row>
    <row r="399" spans="1:17" x14ac:dyDescent="0.25">
      <c r="A399" s="1">
        <v>1482</v>
      </c>
      <c r="B399" s="1" t="s">
        <v>340</v>
      </c>
      <c r="C399" s="1" t="s">
        <v>32</v>
      </c>
      <c r="D399" s="1" t="s">
        <v>27</v>
      </c>
      <c r="E399" s="1" t="s">
        <v>14</v>
      </c>
      <c r="F399" s="1" t="s">
        <v>15</v>
      </c>
      <c r="G399" s="1">
        <v>4</v>
      </c>
      <c r="H399" s="1">
        <v>1500</v>
      </c>
      <c r="I399" s="1">
        <v>0</v>
      </c>
      <c r="J399" s="1">
        <v>6000</v>
      </c>
      <c r="K399" s="1">
        <v>1099.3</v>
      </c>
      <c r="L399" s="1" t="str">
        <f>IF(K399&gt;=15000,"High Profit","Low Profit")</f>
        <v>Low Profit</v>
      </c>
      <c r="M399" s="1">
        <f>YEAR(B399)</f>
        <v>2026</v>
      </c>
      <c r="N399" s="1" t="str">
        <f>TEXT(B399,"mmmm")</f>
        <v>April</v>
      </c>
      <c r="O399" s="1" t="str">
        <f>IF(J399&gt;=100000,"Excellent", IF(J399&gt;=50000,"Good","Average"))</f>
        <v>Average</v>
      </c>
      <c r="P399" s="1">
        <f>(H399*G399)*(I399/100)</f>
        <v>0</v>
      </c>
      <c r="Q399" s="1">
        <f ca="1">J399-Q399</f>
        <v>0</v>
      </c>
    </row>
    <row r="400" spans="1:17" x14ac:dyDescent="0.25">
      <c r="A400" s="1">
        <v>1080</v>
      </c>
      <c r="B400" s="1" t="s">
        <v>75</v>
      </c>
      <c r="C400" s="1" t="s">
        <v>32</v>
      </c>
      <c r="D400" s="1" t="s">
        <v>27</v>
      </c>
      <c r="E400" s="1" t="s">
        <v>28</v>
      </c>
      <c r="F400" s="1" t="s">
        <v>15</v>
      </c>
      <c r="G400" s="1">
        <v>9</v>
      </c>
      <c r="H400" s="1">
        <v>800</v>
      </c>
      <c r="I400" s="1">
        <v>20</v>
      </c>
      <c r="J400" s="1">
        <v>5760</v>
      </c>
      <c r="K400" s="1">
        <v>581.71</v>
      </c>
      <c r="L400" s="1" t="str">
        <f>IF(K400&gt;=15000,"High Profit","Low Profit")</f>
        <v>Low Profit</v>
      </c>
      <c r="M400" s="1">
        <f>YEAR(B400)</f>
        <v>2026</v>
      </c>
      <c r="N400" s="1" t="str">
        <f>TEXT(B400,"mmmm")</f>
        <v>January</v>
      </c>
      <c r="O400" s="1" t="str">
        <f>IF(J400&gt;=100000,"Excellent", IF(J400&gt;=50000,"Good","Average"))</f>
        <v>Average</v>
      </c>
      <c r="P400" s="1">
        <f>(H400*G400)*(I400/100)</f>
        <v>1440</v>
      </c>
      <c r="Q400" s="1">
        <f ca="1">J400-Q400</f>
        <v>0</v>
      </c>
    </row>
    <row r="401" spans="1:17" x14ac:dyDescent="0.25">
      <c r="A401" s="1">
        <v>1116</v>
      </c>
      <c r="B401" s="1" t="s">
        <v>139</v>
      </c>
      <c r="C401" s="1" t="s">
        <v>21</v>
      </c>
      <c r="D401" s="1" t="s">
        <v>13</v>
      </c>
      <c r="E401" s="1" t="s">
        <v>28</v>
      </c>
      <c r="F401" s="1" t="s">
        <v>15</v>
      </c>
      <c r="G401" s="1">
        <v>9</v>
      </c>
      <c r="H401" s="1">
        <v>800</v>
      </c>
      <c r="I401" s="1">
        <v>20</v>
      </c>
      <c r="J401" s="1">
        <v>5760</v>
      </c>
      <c r="K401" s="1">
        <v>905.86</v>
      </c>
      <c r="L401" s="1" t="str">
        <f>IF(K401&gt;=15000,"High Profit","Low Profit")</f>
        <v>Low Profit</v>
      </c>
      <c r="M401" s="1">
        <f>YEAR(B401)</f>
        <v>2026</v>
      </c>
      <c r="N401" s="1" t="str">
        <f>TEXT(B401,"mmmm")</f>
        <v>March</v>
      </c>
      <c r="O401" s="1" t="str">
        <f>IF(J401&gt;=100000,"Excellent", IF(J401&gt;=50000,"Good","Average"))</f>
        <v>Average</v>
      </c>
      <c r="P401" s="1">
        <f>(H401*G401)*(I401/100)</f>
        <v>1440</v>
      </c>
      <c r="Q401" s="1">
        <f ca="1">J401-Q401</f>
        <v>0</v>
      </c>
    </row>
    <row r="402" spans="1:17" x14ac:dyDescent="0.25">
      <c r="A402" s="1">
        <v>1226</v>
      </c>
      <c r="B402" s="1" t="s">
        <v>216</v>
      </c>
      <c r="C402" s="1" t="s">
        <v>41</v>
      </c>
      <c r="D402" s="1" t="s">
        <v>22</v>
      </c>
      <c r="E402" s="1" t="s">
        <v>28</v>
      </c>
      <c r="F402" s="1" t="s">
        <v>15</v>
      </c>
      <c r="G402" s="1">
        <v>8</v>
      </c>
      <c r="H402" s="1">
        <v>800</v>
      </c>
      <c r="I402" s="1">
        <v>10</v>
      </c>
      <c r="J402" s="1">
        <v>5760</v>
      </c>
      <c r="K402" s="1">
        <v>657.34</v>
      </c>
      <c r="L402" s="1" t="str">
        <f>IF(K402&gt;=15000,"High Profit","Low Profit")</f>
        <v>Low Profit</v>
      </c>
      <c r="M402" s="1">
        <f>YEAR(B402)</f>
        <v>2026</v>
      </c>
      <c r="N402" s="1" t="str">
        <f>TEXT(B402,"mmmm")</f>
        <v>May</v>
      </c>
      <c r="O402" s="1" t="str">
        <f>IF(J402&gt;=100000,"Excellent", IF(J402&gt;=50000,"Good","Average"))</f>
        <v>Average</v>
      </c>
      <c r="P402" s="1">
        <f>(H402*G402)*(I402/100)</f>
        <v>640</v>
      </c>
      <c r="Q402" s="1">
        <f ca="1">J402-Q402</f>
        <v>0</v>
      </c>
    </row>
    <row r="403" spans="1:17" x14ac:dyDescent="0.25">
      <c r="A403" s="1">
        <v>1340</v>
      </c>
      <c r="B403" s="1" t="s">
        <v>250</v>
      </c>
      <c r="C403" s="1" t="s">
        <v>45</v>
      </c>
      <c r="D403" s="1" t="s">
        <v>22</v>
      </c>
      <c r="E403" s="1" t="s">
        <v>28</v>
      </c>
      <c r="F403" s="1" t="s">
        <v>15</v>
      </c>
      <c r="G403" s="1">
        <v>9</v>
      </c>
      <c r="H403" s="1">
        <v>800</v>
      </c>
      <c r="I403" s="1">
        <v>20</v>
      </c>
      <c r="J403" s="1">
        <v>5760</v>
      </c>
      <c r="K403" s="1">
        <v>907.96</v>
      </c>
      <c r="L403" s="1" t="str">
        <f>IF(K403&gt;=15000,"High Profit","Low Profit")</f>
        <v>Low Profit</v>
      </c>
      <c r="M403" s="1">
        <f>YEAR(B403)</f>
        <v>2026</v>
      </c>
      <c r="N403" s="1" t="str">
        <f>TEXT(B403,"mmmm")</f>
        <v>February</v>
      </c>
      <c r="O403" s="1" t="str">
        <f>IF(J403&gt;=100000,"Excellent", IF(J403&gt;=50000,"Good","Average"))</f>
        <v>Average</v>
      </c>
      <c r="P403" s="1">
        <f>(H403*G403)*(I403/100)</f>
        <v>1440</v>
      </c>
      <c r="Q403" s="1">
        <f ca="1">J403-Q403</f>
        <v>0</v>
      </c>
    </row>
    <row r="404" spans="1:17" x14ac:dyDescent="0.25">
      <c r="A404" s="1">
        <v>1176</v>
      </c>
      <c r="B404" s="1" t="s">
        <v>181</v>
      </c>
      <c r="C404" s="1" t="s">
        <v>36</v>
      </c>
      <c r="D404" s="1" t="s">
        <v>17</v>
      </c>
      <c r="E404" s="1" t="s">
        <v>14</v>
      </c>
      <c r="F404" s="1" t="s">
        <v>15</v>
      </c>
      <c r="G404" s="1">
        <v>4</v>
      </c>
      <c r="H404" s="1">
        <v>1500</v>
      </c>
      <c r="I404" s="1">
        <v>5</v>
      </c>
      <c r="J404" s="1">
        <v>5700</v>
      </c>
      <c r="K404" s="1">
        <v>1143.96</v>
      </c>
      <c r="L404" s="1" t="str">
        <f>IF(K404&gt;=15000,"High Profit","Low Profit")</f>
        <v>Low Profit</v>
      </c>
      <c r="M404" s="1">
        <f>YEAR(B404)</f>
        <v>2026</v>
      </c>
      <c r="N404" s="1" t="str">
        <f>TEXT(B404,"mmmm")</f>
        <v>May</v>
      </c>
      <c r="O404" s="1" t="str">
        <f>IF(J404&gt;=100000,"Excellent", IF(J404&gt;=50000,"Good","Average"))</f>
        <v>Average</v>
      </c>
      <c r="P404" s="1">
        <f>(H404*G404)*(I404/100)</f>
        <v>300</v>
      </c>
      <c r="Q404" s="1">
        <f ca="1">J404-Q404</f>
        <v>0</v>
      </c>
    </row>
    <row r="405" spans="1:17" x14ac:dyDescent="0.25">
      <c r="A405" s="1">
        <v>1351</v>
      </c>
      <c r="B405" s="1" t="s">
        <v>172</v>
      </c>
      <c r="C405" s="1" t="s">
        <v>32</v>
      </c>
      <c r="D405" s="1" t="s">
        <v>13</v>
      </c>
      <c r="E405" s="1" t="s">
        <v>14</v>
      </c>
      <c r="F405" s="1" t="s">
        <v>15</v>
      </c>
      <c r="G405" s="1">
        <v>4</v>
      </c>
      <c r="H405" s="1">
        <v>1500</v>
      </c>
      <c r="I405" s="1">
        <v>5</v>
      </c>
      <c r="J405" s="1">
        <v>5700</v>
      </c>
      <c r="K405" s="1">
        <v>926.81</v>
      </c>
      <c r="L405" s="1" t="str">
        <f>IF(K405&gt;=15000,"High Profit","Low Profit")</f>
        <v>Low Profit</v>
      </c>
      <c r="M405" s="1">
        <f>YEAR(B405)</f>
        <v>2025</v>
      </c>
      <c r="N405" s="1" t="str">
        <f>TEXT(B405,"mmmm")</f>
        <v>May</v>
      </c>
      <c r="O405" s="1" t="str">
        <f>IF(J405&gt;=100000,"Excellent", IF(J405&gt;=50000,"Good","Average"))</f>
        <v>Average</v>
      </c>
      <c r="P405" s="1">
        <f>(H405*G405)*(I405/100)</f>
        <v>300</v>
      </c>
      <c r="Q405" s="1">
        <f ca="1">J405-Q405</f>
        <v>0</v>
      </c>
    </row>
    <row r="406" spans="1:17" x14ac:dyDescent="0.25">
      <c r="A406" s="1">
        <v>1006</v>
      </c>
      <c r="B406" s="1" t="s">
        <v>31</v>
      </c>
      <c r="C406" s="1" t="s">
        <v>32</v>
      </c>
      <c r="D406" s="1" t="s">
        <v>17</v>
      </c>
      <c r="E406" s="1" t="s">
        <v>18</v>
      </c>
      <c r="F406" s="1" t="s">
        <v>19</v>
      </c>
      <c r="G406" s="1">
        <v>1</v>
      </c>
      <c r="H406" s="1">
        <v>7000</v>
      </c>
      <c r="I406" s="1">
        <v>20</v>
      </c>
      <c r="J406" s="1">
        <v>5600</v>
      </c>
      <c r="K406" s="1">
        <v>1084.1500000000001</v>
      </c>
      <c r="L406" s="1" t="str">
        <f>IF(K406&gt;=15000,"High Profit","Low Profit")</f>
        <v>Low Profit</v>
      </c>
      <c r="M406" s="1">
        <f>YEAR(B406)</f>
        <v>2026</v>
      </c>
      <c r="N406" s="1" t="str">
        <f>TEXT(B406,"mmmm")</f>
        <v>February</v>
      </c>
      <c r="O406" s="1" t="str">
        <f>IF(J406&gt;=100000,"Excellent", IF(J406&gt;=50000,"Good","Average"))</f>
        <v>Average</v>
      </c>
      <c r="P406" s="1">
        <f>(H406*G406)*(I406/100)</f>
        <v>1400</v>
      </c>
      <c r="Q406" s="1">
        <f ca="1">J406-Q406</f>
        <v>0</v>
      </c>
    </row>
    <row r="407" spans="1:17" x14ac:dyDescent="0.25">
      <c r="A407" s="1">
        <v>1310</v>
      </c>
      <c r="B407" s="1" t="s">
        <v>141</v>
      </c>
      <c r="C407" s="1" t="s">
        <v>39</v>
      </c>
      <c r="D407" s="1" t="s">
        <v>17</v>
      </c>
      <c r="E407" s="1" t="s">
        <v>28</v>
      </c>
      <c r="F407" s="1" t="s">
        <v>15</v>
      </c>
      <c r="G407" s="1">
        <v>7</v>
      </c>
      <c r="H407" s="1">
        <v>800</v>
      </c>
      <c r="I407" s="1">
        <v>0</v>
      </c>
      <c r="J407" s="1">
        <v>5600</v>
      </c>
      <c r="K407" s="1">
        <v>1127.4100000000001</v>
      </c>
      <c r="L407" s="1" t="str">
        <f>IF(K407&gt;=15000,"High Profit","Low Profit")</f>
        <v>Low Profit</v>
      </c>
      <c r="M407" s="1">
        <f>YEAR(B407)</f>
        <v>2025</v>
      </c>
      <c r="N407" s="1" t="str">
        <f>TEXT(B407,"mmmm")</f>
        <v>November</v>
      </c>
      <c r="O407" s="1" t="str">
        <f>IF(J407&gt;=100000,"Excellent", IF(J407&gt;=50000,"Good","Average"))</f>
        <v>Average</v>
      </c>
      <c r="P407" s="1">
        <f>(H407*G407)*(I407/100)</f>
        <v>0</v>
      </c>
      <c r="Q407" s="1">
        <f ca="1">J407-Q407</f>
        <v>0</v>
      </c>
    </row>
    <row r="408" spans="1:17" x14ac:dyDescent="0.25">
      <c r="A408" s="1">
        <v>1361</v>
      </c>
      <c r="B408" s="1" t="s">
        <v>291</v>
      </c>
      <c r="C408" s="1" t="s">
        <v>47</v>
      </c>
      <c r="D408" s="1" t="s">
        <v>27</v>
      </c>
      <c r="E408" s="1" t="s">
        <v>18</v>
      </c>
      <c r="F408" s="1" t="s">
        <v>19</v>
      </c>
      <c r="G408" s="1">
        <v>1</v>
      </c>
      <c r="H408" s="1">
        <v>7000</v>
      </c>
      <c r="I408" s="1">
        <v>20</v>
      </c>
      <c r="J408" s="1">
        <v>5600</v>
      </c>
      <c r="K408" s="1">
        <v>792.08</v>
      </c>
      <c r="L408" s="1" t="str">
        <f>IF(K408&gt;=15000,"High Profit","Low Profit")</f>
        <v>Low Profit</v>
      </c>
      <c r="M408" s="1">
        <f>YEAR(B408)</f>
        <v>2026</v>
      </c>
      <c r="N408" s="1" t="str">
        <f>TEXT(B408,"mmmm")</f>
        <v>January</v>
      </c>
      <c r="O408" s="1" t="str">
        <f>IF(J408&gt;=100000,"Excellent", IF(J408&gt;=50000,"Good","Average"))</f>
        <v>Average</v>
      </c>
      <c r="P408" s="1">
        <f>(H408*G408)*(I408/100)</f>
        <v>1400</v>
      </c>
      <c r="Q408" s="1">
        <f ca="1">J408-Q408</f>
        <v>0</v>
      </c>
    </row>
    <row r="409" spans="1:17" x14ac:dyDescent="0.25">
      <c r="A409" s="1">
        <v>1500</v>
      </c>
      <c r="B409" s="1" t="s">
        <v>346</v>
      </c>
      <c r="C409" s="1" t="s">
        <v>45</v>
      </c>
      <c r="D409" s="1" t="s">
        <v>27</v>
      </c>
      <c r="E409" s="1" t="s">
        <v>28</v>
      </c>
      <c r="F409" s="1" t="s">
        <v>15</v>
      </c>
      <c r="G409" s="1">
        <v>7</v>
      </c>
      <c r="H409" s="1">
        <v>800</v>
      </c>
      <c r="I409" s="1">
        <v>0</v>
      </c>
      <c r="J409" s="1">
        <v>5600</v>
      </c>
      <c r="K409" s="1">
        <v>498.38</v>
      </c>
      <c r="L409" s="1" t="str">
        <f>IF(K409&gt;=15000,"High Profit","Low Profit")</f>
        <v>Low Profit</v>
      </c>
      <c r="M409" s="1">
        <f>YEAR(B409)</f>
        <v>2025</v>
      </c>
      <c r="N409" s="1" t="str">
        <f>TEXT(B409,"mmmm")</f>
        <v>January</v>
      </c>
      <c r="O409" s="1" t="str">
        <f>IF(J409&gt;=100000,"Excellent", IF(J409&gt;=50000,"Good","Average"))</f>
        <v>Average</v>
      </c>
      <c r="P409" s="1">
        <f>(H409*G409)*(I409/100)</f>
        <v>0</v>
      </c>
      <c r="Q409" s="1">
        <f ca="1">J409-Q409</f>
        <v>0</v>
      </c>
    </row>
    <row r="410" spans="1:17" x14ac:dyDescent="0.25">
      <c r="A410" s="1">
        <v>1198</v>
      </c>
      <c r="B410" s="1" t="s">
        <v>198</v>
      </c>
      <c r="C410" s="1" t="s">
        <v>39</v>
      </c>
      <c r="D410" s="1" t="s">
        <v>22</v>
      </c>
      <c r="E410" s="1" t="s">
        <v>28</v>
      </c>
      <c r="F410" s="1" t="s">
        <v>15</v>
      </c>
      <c r="G410" s="1">
        <v>8</v>
      </c>
      <c r="H410" s="1">
        <v>800</v>
      </c>
      <c r="I410" s="1">
        <v>15</v>
      </c>
      <c r="J410" s="1">
        <v>5440</v>
      </c>
      <c r="K410" s="1">
        <v>1260.24</v>
      </c>
      <c r="L410" s="1" t="str">
        <f>IF(K410&gt;=15000,"High Profit","Low Profit")</f>
        <v>Low Profit</v>
      </c>
      <c r="M410" s="1">
        <f>YEAR(B410)</f>
        <v>2026</v>
      </c>
      <c r="N410" s="1" t="str">
        <f>TEXT(B410,"mmmm")</f>
        <v>April</v>
      </c>
      <c r="O410" s="1" t="str">
        <f>IF(J410&gt;=100000,"Excellent", IF(J410&gt;=50000,"Good","Average"))</f>
        <v>Average</v>
      </c>
      <c r="P410" s="1">
        <f>(H410*G410)*(I410/100)</f>
        <v>960</v>
      </c>
      <c r="Q410" s="1">
        <f ca="1">J410-Q410</f>
        <v>0</v>
      </c>
    </row>
    <row r="411" spans="1:17" x14ac:dyDescent="0.25">
      <c r="A411" s="1">
        <v>1268</v>
      </c>
      <c r="B411" s="1" t="s">
        <v>210</v>
      </c>
      <c r="C411" s="1" t="s">
        <v>30</v>
      </c>
      <c r="D411" s="1" t="s">
        <v>17</v>
      </c>
      <c r="E411" s="1" t="s">
        <v>14</v>
      </c>
      <c r="F411" s="1" t="s">
        <v>15</v>
      </c>
      <c r="G411" s="1">
        <v>4</v>
      </c>
      <c r="H411" s="1">
        <v>1500</v>
      </c>
      <c r="I411" s="1">
        <v>10</v>
      </c>
      <c r="J411" s="1">
        <v>5400</v>
      </c>
      <c r="K411" s="1">
        <v>734.37</v>
      </c>
      <c r="L411" s="1" t="str">
        <f>IF(K411&gt;=15000,"High Profit","Low Profit")</f>
        <v>Low Profit</v>
      </c>
      <c r="M411" s="1">
        <f>YEAR(B411)</f>
        <v>2025</v>
      </c>
      <c r="N411" s="1" t="str">
        <f>TEXT(B411,"mmmm")</f>
        <v>November</v>
      </c>
      <c r="O411" s="1" t="str">
        <f>IF(J411&gt;=100000,"Excellent", IF(J411&gt;=50000,"Good","Average"))</f>
        <v>Average</v>
      </c>
      <c r="P411" s="1">
        <f>(H411*G411)*(I411/100)</f>
        <v>600</v>
      </c>
      <c r="Q411" s="1">
        <f ca="1">J411-Q411</f>
        <v>0</v>
      </c>
    </row>
    <row r="412" spans="1:17" x14ac:dyDescent="0.25">
      <c r="A412" s="1">
        <v>1334</v>
      </c>
      <c r="B412" s="1" t="s">
        <v>280</v>
      </c>
      <c r="C412" s="1" t="s">
        <v>21</v>
      </c>
      <c r="D412" s="1" t="s">
        <v>13</v>
      </c>
      <c r="E412" s="1" t="s">
        <v>14</v>
      </c>
      <c r="F412" s="1" t="s">
        <v>15</v>
      </c>
      <c r="G412" s="1">
        <v>4</v>
      </c>
      <c r="H412" s="1">
        <v>1500</v>
      </c>
      <c r="I412" s="1">
        <v>10</v>
      </c>
      <c r="J412" s="1">
        <v>5400</v>
      </c>
      <c r="K412" s="1">
        <v>1285.18</v>
      </c>
      <c r="L412" s="1" t="str">
        <f>IF(K412&gt;=15000,"High Profit","Low Profit")</f>
        <v>Low Profit</v>
      </c>
      <c r="M412" s="1">
        <f>YEAR(B412)</f>
        <v>2026</v>
      </c>
      <c r="N412" s="1" t="str">
        <f>TEXT(B412,"mmmm")</f>
        <v>February</v>
      </c>
      <c r="O412" s="1" t="str">
        <f>IF(J412&gt;=100000,"Excellent", IF(J412&gt;=50000,"Good","Average"))</f>
        <v>Average</v>
      </c>
      <c r="P412" s="1">
        <f>(H412*G412)*(I412/100)</f>
        <v>600</v>
      </c>
      <c r="Q412" s="1">
        <f ca="1">J412-Q412</f>
        <v>0</v>
      </c>
    </row>
    <row r="413" spans="1:17" x14ac:dyDescent="0.25">
      <c r="A413" s="1">
        <v>1154</v>
      </c>
      <c r="B413" s="1" t="s">
        <v>167</v>
      </c>
      <c r="C413" s="1" t="s">
        <v>39</v>
      </c>
      <c r="D413" s="1" t="s">
        <v>27</v>
      </c>
      <c r="E413" s="1" t="s">
        <v>28</v>
      </c>
      <c r="F413" s="1" t="s">
        <v>15</v>
      </c>
      <c r="G413" s="1">
        <v>7</v>
      </c>
      <c r="H413" s="1">
        <v>800</v>
      </c>
      <c r="I413" s="1">
        <v>5</v>
      </c>
      <c r="J413" s="1">
        <v>5320</v>
      </c>
      <c r="K413" s="1">
        <v>707.51</v>
      </c>
      <c r="L413" s="1" t="str">
        <f>IF(K413&gt;=15000,"High Profit","Low Profit")</f>
        <v>Low Profit</v>
      </c>
      <c r="M413" s="1">
        <f>YEAR(B413)</f>
        <v>2026</v>
      </c>
      <c r="N413" s="1" t="str">
        <f>TEXT(B413,"mmmm")</f>
        <v>June</v>
      </c>
      <c r="O413" s="1" t="str">
        <f>IF(J413&gt;=100000,"Excellent", IF(J413&gt;=50000,"Good","Average"))</f>
        <v>Average</v>
      </c>
      <c r="P413" s="1">
        <f>(H413*G413)*(I413/100)</f>
        <v>280</v>
      </c>
      <c r="Q413" s="1">
        <f ca="1">J413-Q413</f>
        <v>0</v>
      </c>
    </row>
    <row r="414" spans="1:17" x14ac:dyDescent="0.25">
      <c r="A414" s="1">
        <v>1104</v>
      </c>
      <c r="B414" s="1" t="s">
        <v>127</v>
      </c>
      <c r="C414" s="1" t="s">
        <v>26</v>
      </c>
      <c r="D414" s="1" t="s">
        <v>13</v>
      </c>
      <c r="E414" s="1" t="s">
        <v>14</v>
      </c>
      <c r="F414" s="1" t="s">
        <v>15</v>
      </c>
      <c r="G414" s="1">
        <v>4</v>
      </c>
      <c r="H414" s="1">
        <v>1500</v>
      </c>
      <c r="I414" s="1">
        <v>15</v>
      </c>
      <c r="J414" s="1">
        <v>5100</v>
      </c>
      <c r="K414" s="1">
        <v>742.14</v>
      </c>
      <c r="L414" s="1" t="str">
        <f>IF(K414&gt;=15000,"High Profit","Low Profit")</f>
        <v>Low Profit</v>
      </c>
      <c r="M414" s="1">
        <f>YEAR(B414)</f>
        <v>2025</v>
      </c>
      <c r="N414" s="1" t="str">
        <f>TEXT(B414,"mmmm")</f>
        <v>April</v>
      </c>
      <c r="O414" s="1" t="str">
        <f>IF(J414&gt;=100000,"Excellent", IF(J414&gt;=50000,"Good","Average"))</f>
        <v>Average</v>
      </c>
      <c r="P414" s="1">
        <f>(H414*G414)*(I414/100)</f>
        <v>900</v>
      </c>
      <c r="Q414" s="1">
        <f ca="1">J414-Q414</f>
        <v>0</v>
      </c>
    </row>
    <row r="415" spans="1:17" x14ac:dyDescent="0.25">
      <c r="A415" s="1">
        <v>1274</v>
      </c>
      <c r="B415" s="1" t="s">
        <v>20</v>
      </c>
      <c r="C415" s="1" t="s">
        <v>30</v>
      </c>
      <c r="D415" s="1" t="s">
        <v>27</v>
      </c>
      <c r="E415" s="1" t="s">
        <v>14</v>
      </c>
      <c r="F415" s="1" t="s">
        <v>15</v>
      </c>
      <c r="G415" s="1">
        <v>4</v>
      </c>
      <c r="H415" s="1">
        <v>1500</v>
      </c>
      <c r="I415" s="1">
        <v>15</v>
      </c>
      <c r="J415" s="1">
        <v>5100</v>
      </c>
      <c r="K415" s="1">
        <v>462.78</v>
      </c>
      <c r="L415" s="1" t="str">
        <f>IF(K415&gt;=15000,"High Profit","Low Profit")</f>
        <v>Low Profit</v>
      </c>
      <c r="M415" s="1">
        <f>YEAR(B415)</f>
        <v>2025</v>
      </c>
      <c r="N415" s="1" t="str">
        <f>TEXT(B415,"mmmm")</f>
        <v>March</v>
      </c>
      <c r="O415" s="1" t="str">
        <f>IF(J415&gt;=100000,"Excellent", IF(J415&gt;=50000,"Good","Average"))</f>
        <v>Average</v>
      </c>
      <c r="P415" s="1">
        <f>(H415*G415)*(I415/100)</f>
        <v>900</v>
      </c>
      <c r="Q415" s="1">
        <f ca="1">J415-Q415</f>
        <v>0</v>
      </c>
    </row>
    <row r="416" spans="1:17" x14ac:dyDescent="0.25">
      <c r="A416" s="1">
        <v>1284</v>
      </c>
      <c r="B416" s="1" t="s">
        <v>113</v>
      </c>
      <c r="C416" s="1" t="s">
        <v>45</v>
      </c>
      <c r="D416" s="1" t="s">
        <v>13</v>
      </c>
      <c r="E416" s="1" t="s">
        <v>14</v>
      </c>
      <c r="F416" s="1" t="s">
        <v>15</v>
      </c>
      <c r="G416" s="1">
        <v>4</v>
      </c>
      <c r="H416" s="1">
        <v>1500</v>
      </c>
      <c r="I416" s="1">
        <v>15</v>
      </c>
      <c r="J416" s="1">
        <v>5100</v>
      </c>
      <c r="K416" s="1">
        <v>625.33000000000004</v>
      </c>
      <c r="L416" s="1" t="str">
        <f>IF(K416&gt;=15000,"High Profit","Low Profit")</f>
        <v>Low Profit</v>
      </c>
      <c r="M416" s="1">
        <f>YEAR(B416)</f>
        <v>2025</v>
      </c>
      <c r="N416" s="1" t="str">
        <f>TEXT(B416,"mmmm")</f>
        <v>July</v>
      </c>
      <c r="O416" s="1" t="str">
        <f>IF(J416&gt;=100000,"Excellent", IF(J416&gt;=50000,"Good","Average"))</f>
        <v>Average</v>
      </c>
      <c r="P416" s="1">
        <f>(H416*G416)*(I416/100)</f>
        <v>900</v>
      </c>
      <c r="Q416" s="1">
        <f ca="1">J416-Q416</f>
        <v>0</v>
      </c>
    </row>
    <row r="417" spans="1:17" x14ac:dyDescent="0.25">
      <c r="A417" s="1">
        <v>1371</v>
      </c>
      <c r="B417" s="1" t="s">
        <v>220</v>
      </c>
      <c r="C417" s="1" t="s">
        <v>45</v>
      </c>
      <c r="D417" s="1" t="s">
        <v>27</v>
      </c>
      <c r="E417" s="1" t="s">
        <v>14</v>
      </c>
      <c r="F417" s="1" t="s">
        <v>15</v>
      </c>
      <c r="G417" s="1">
        <v>4</v>
      </c>
      <c r="H417" s="1">
        <v>1500</v>
      </c>
      <c r="I417" s="1">
        <v>15</v>
      </c>
      <c r="J417" s="1">
        <v>5100</v>
      </c>
      <c r="K417" s="1">
        <v>872.76</v>
      </c>
      <c r="L417" s="1" t="str">
        <f>IF(K417&gt;=15000,"High Profit","Low Profit")</f>
        <v>Low Profit</v>
      </c>
      <c r="M417" s="1">
        <f>YEAR(B417)</f>
        <v>2026</v>
      </c>
      <c r="N417" s="1" t="str">
        <f>TEXT(B417,"mmmm")</f>
        <v>May</v>
      </c>
      <c r="O417" s="1" t="str">
        <f>IF(J417&gt;=100000,"Excellent", IF(J417&gt;=50000,"Good","Average"))</f>
        <v>Average</v>
      </c>
      <c r="P417" s="1">
        <f>(H417*G417)*(I417/100)</f>
        <v>900</v>
      </c>
      <c r="Q417" s="1">
        <f ca="1">J417-Q417</f>
        <v>0</v>
      </c>
    </row>
    <row r="418" spans="1:17" x14ac:dyDescent="0.25">
      <c r="A418" s="1">
        <v>1429</v>
      </c>
      <c r="B418" s="1" t="s">
        <v>197</v>
      </c>
      <c r="C418" s="1" t="s">
        <v>36</v>
      </c>
      <c r="D418" s="1" t="s">
        <v>13</v>
      </c>
      <c r="E418" s="1" t="s">
        <v>14</v>
      </c>
      <c r="F418" s="1" t="s">
        <v>15</v>
      </c>
      <c r="G418" s="1">
        <v>4</v>
      </c>
      <c r="H418" s="1">
        <v>1500</v>
      </c>
      <c r="I418" s="1">
        <v>15</v>
      </c>
      <c r="J418" s="1">
        <v>5100</v>
      </c>
      <c r="K418" s="1">
        <v>523.34</v>
      </c>
      <c r="L418" s="1" t="str">
        <f>IF(K418&gt;=15000,"High Profit","Low Profit")</f>
        <v>Low Profit</v>
      </c>
      <c r="M418" s="1">
        <f>YEAR(B418)</f>
        <v>2026</v>
      </c>
      <c r="N418" s="1" t="str">
        <f>TEXT(B418,"mmmm")</f>
        <v>June</v>
      </c>
      <c r="O418" s="1" t="str">
        <f>IF(J418&gt;=100000,"Excellent", IF(J418&gt;=50000,"Good","Average"))</f>
        <v>Average</v>
      </c>
      <c r="P418" s="1">
        <f>(H418*G418)*(I418/100)</f>
        <v>900</v>
      </c>
      <c r="Q418" s="1">
        <f ca="1">J418-Q418</f>
        <v>0</v>
      </c>
    </row>
    <row r="419" spans="1:17" x14ac:dyDescent="0.25">
      <c r="A419" s="1">
        <v>1068</v>
      </c>
      <c r="B419" s="1" t="s">
        <v>93</v>
      </c>
      <c r="C419" s="1" t="s">
        <v>47</v>
      </c>
      <c r="D419" s="1" t="s">
        <v>27</v>
      </c>
      <c r="E419" s="1" t="s">
        <v>28</v>
      </c>
      <c r="F419" s="1" t="s">
        <v>15</v>
      </c>
      <c r="G419" s="1">
        <v>7</v>
      </c>
      <c r="H419" s="1">
        <v>800</v>
      </c>
      <c r="I419" s="1">
        <v>10</v>
      </c>
      <c r="J419" s="1">
        <v>5040</v>
      </c>
      <c r="K419" s="1">
        <v>408.31</v>
      </c>
      <c r="L419" s="1" t="str">
        <f>IF(K419&gt;=15000,"High Profit","Low Profit")</f>
        <v>Low Profit</v>
      </c>
      <c r="M419" s="1">
        <f>YEAR(B419)</f>
        <v>2026</v>
      </c>
      <c r="N419" s="1" t="str">
        <f>TEXT(B419,"mmmm")</f>
        <v>May</v>
      </c>
      <c r="O419" s="1" t="str">
        <f>IF(J419&gt;=100000,"Excellent", IF(J419&gt;=50000,"Good","Average"))</f>
        <v>Average</v>
      </c>
      <c r="P419" s="1">
        <f>(H419*G419)*(I419/100)</f>
        <v>560</v>
      </c>
      <c r="Q419" s="1">
        <f ca="1">J419-Q419</f>
        <v>0</v>
      </c>
    </row>
    <row r="420" spans="1:17" x14ac:dyDescent="0.25">
      <c r="A420" s="1">
        <v>1094</v>
      </c>
      <c r="B420" s="1" t="s">
        <v>118</v>
      </c>
      <c r="C420" s="1" t="s">
        <v>26</v>
      </c>
      <c r="D420" s="1" t="s">
        <v>17</v>
      </c>
      <c r="E420" s="1" t="s">
        <v>28</v>
      </c>
      <c r="F420" s="1" t="s">
        <v>15</v>
      </c>
      <c r="G420" s="1">
        <v>7</v>
      </c>
      <c r="H420" s="1">
        <v>800</v>
      </c>
      <c r="I420" s="1">
        <v>10</v>
      </c>
      <c r="J420" s="1">
        <v>5040</v>
      </c>
      <c r="K420" s="1">
        <v>1243.44</v>
      </c>
      <c r="L420" s="1" t="str">
        <f>IF(K420&gt;=15000,"High Profit","Low Profit")</f>
        <v>Low Profit</v>
      </c>
      <c r="M420" s="1">
        <f>YEAR(B420)</f>
        <v>2025</v>
      </c>
      <c r="N420" s="1" t="str">
        <f>TEXT(B420,"mmmm")</f>
        <v>December</v>
      </c>
      <c r="O420" s="1" t="str">
        <f>IF(J420&gt;=100000,"Excellent", IF(J420&gt;=50000,"Good","Average"))</f>
        <v>Average</v>
      </c>
      <c r="P420" s="1">
        <f>(H420*G420)*(I420/100)</f>
        <v>560</v>
      </c>
      <c r="Q420" s="1">
        <f ca="1">J420-Q420</f>
        <v>0</v>
      </c>
    </row>
    <row r="421" spans="1:17" x14ac:dyDescent="0.25">
      <c r="A421" s="1">
        <v>1319</v>
      </c>
      <c r="B421" s="1" t="s">
        <v>272</v>
      </c>
      <c r="C421" s="1" t="s">
        <v>41</v>
      </c>
      <c r="D421" s="1" t="s">
        <v>17</v>
      </c>
      <c r="E421" s="1" t="s">
        <v>28</v>
      </c>
      <c r="F421" s="1" t="s">
        <v>15</v>
      </c>
      <c r="G421" s="1">
        <v>6</v>
      </c>
      <c r="H421" s="1">
        <v>800</v>
      </c>
      <c r="I421" s="1">
        <v>0</v>
      </c>
      <c r="J421" s="1">
        <v>4800</v>
      </c>
      <c r="K421" s="1">
        <v>1032.72</v>
      </c>
      <c r="L421" s="1" t="str">
        <f>IF(K421&gt;=15000,"High Profit","Low Profit")</f>
        <v>Low Profit</v>
      </c>
      <c r="M421" s="1">
        <f>YEAR(B421)</f>
        <v>2025</v>
      </c>
      <c r="N421" s="1" t="str">
        <f>TEXT(B421,"mmmm")</f>
        <v>May</v>
      </c>
      <c r="O421" s="1" t="str">
        <f>IF(J421&gt;=100000,"Excellent", IF(J421&gt;=50000,"Good","Average"))</f>
        <v>Average</v>
      </c>
      <c r="P421" s="1">
        <f>(H421*G421)*(I421/100)</f>
        <v>0</v>
      </c>
      <c r="Q421" s="1">
        <f ca="1">J421-Q421</f>
        <v>0</v>
      </c>
    </row>
    <row r="422" spans="1:17" x14ac:dyDescent="0.25">
      <c r="A422" s="1">
        <v>1040</v>
      </c>
      <c r="B422" s="1" t="s">
        <v>67</v>
      </c>
      <c r="C422" s="1" t="s">
        <v>26</v>
      </c>
      <c r="D422" s="1" t="s">
        <v>13</v>
      </c>
      <c r="E422" s="1" t="s">
        <v>28</v>
      </c>
      <c r="F422" s="1" t="s">
        <v>15</v>
      </c>
      <c r="G422" s="1">
        <v>7</v>
      </c>
      <c r="H422" s="1">
        <v>800</v>
      </c>
      <c r="I422" s="1">
        <v>15</v>
      </c>
      <c r="J422" s="1">
        <v>4760</v>
      </c>
      <c r="K422" s="1">
        <v>665.82</v>
      </c>
      <c r="L422" s="1" t="str">
        <f>IF(K422&gt;=15000,"High Profit","Low Profit")</f>
        <v>Low Profit</v>
      </c>
      <c r="M422" s="1">
        <f>YEAR(B422)</f>
        <v>2025</v>
      </c>
      <c r="N422" s="1" t="str">
        <f>TEXT(B422,"mmmm")</f>
        <v>August</v>
      </c>
      <c r="O422" s="1" t="str">
        <f>IF(J422&gt;=100000,"Excellent", IF(J422&gt;=50000,"Good","Average"))</f>
        <v>Average</v>
      </c>
      <c r="P422" s="1">
        <f>(H422*G422)*(I422/100)</f>
        <v>840</v>
      </c>
      <c r="Q422" s="1">
        <f ca="1">J422-Q422</f>
        <v>0</v>
      </c>
    </row>
    <row r="423" spans="1:17" x14ac:dyDescent="0.25">
      <c r="A423" s="1">
        <v>1051</v>
      </c>
      <c r="B423" s="1" t="s">
        <v>77</v>
      </c>
      <c r="C423" s="1" t="s">
        <v>12</v>
      </c>
      <c r="D423" s="1" t="s">
        <v>27</v>
      </c>
      <c r="E423" s="1" t="s">
        <v>28</v>
      </c>
      <c r="F423" s="1" t="s">
        <v>15</v>
      </c>
      <c r="G423" s="1">
        <v>7</v>
      </c>
      <c r="H423" s="1">
        <v>800</v>
      </c>
      <c r="I423" s="1">
        <v>15</v>
      </c>
      <c r="J423" s="1">
        <v>4760</v>
      </c>
      <c r="K423" s="1">
        <v>743.66</v>
      </c>
      <c r="L423" s="1" t="str">
        <f>IF(K423&gt;=15000,"High Profit","Low Profit")</f>
        <v>Low Profit</v>
      </c>
      <c r="M423" s="1">
        <f>YEAR(B423)</f>
        <v>2025</v>
      </c>
      <c r="N423" s="1" t="str">
        <f>TEXT(B423,"mmmm")</f>
        <v>June</v>
      </c>
      <c r="O423" s="1" t="str">
        <f>IF(J423&gt;=100000,"Excellent", IF(J423&gt;=50000,"Good","Average"))</f>
        <v>Average</v>
      </c>
      <c r="P423" s="1">
        <f>(H423*G423)*(I423/100)</f>
        <v>840</v>
      </c>
      <c r="Q423" s="1">
        <f ca="1">J423-Q423</f>
        <v>0</v>
      </c>
    </row>
    <row r="424" spans="1:17" x14ac:dyDescent="0.25">
      <c r="A424" s="1">
        <v>1453</v>
      </c>
      <c r="B424" s="1" t="s">
        <v>97</v>
      </c>
      <c r="C424" s="1" t="s">
        <v>21</v>
      </c>
      <c r="D424" s="1" t="s">
        <v>22</v>
      </c>
      <c r="E424" s="1" t="s">
        <v>28</v>
      </c>
      <c r="F424" s="1" t="s">
        <v>15</v>
      </c>
      <c r="G424" s="1">
        <v>7</v>
      </c>
      <c r="H424" s="1">
        <v>800</v>
      </c>
      <c r="I424" s="1">
        <v>15</v>
      </c>
      <c r="J424" s="1">
        <v>4760</v>
      </c>
      <c r="K424" s="1">
        <v>1090.5</v>
      </c>
      <c r="L424" s="1" t="str">
        <f>IF(K424&gt;=15000,"High Profit","Low Profit")</f>
        <v>Low Profit</v>
      </c>
      <c r="M424" s="1">
        <f>YEAR(B424)</f>
        <v>2025</v>
      </c>
      <c r="N424" s="1" t="str">
        <f>TEXT(B424,"mmmm")</f>
        <v>February</v>
      </c>
      <c r="O424" s="1" t="str">
        <f>IF(J424&gt;=100000,"Excellent", IF(J424&gt;=50000,"Good","Average"))</f>
        <v>Average</v>
      </c>
      <c r="P424" s="1">
        <f>(H424*G424)*(I424/100)</f>
        <v>840</v>
      </c>
      <c r="Q424" s="1">
        <f ca="1">J424-Q424</f>
        <v>0</v>
      </c>
    </row>
    <row r="425" spans="1:17" x14ac:dyDescent="0.25">
      <c r="A425" s="1">
        <v>1199</v>
      </c>
      <c r="B425" s="1" t="s">
        <v>99</v>
      </c>
      <c r="C425" s="1" t="s">
        <v>47</v>
      </c>
      <c r="D425" s="1" t="s">
        <v>27</v>
      </c>
      <c r="E425" s="1" t="s">
        <v>28</v>
      </c>
      <c r="F425" s="1" t="s">
        <v>15</v>
      </c>
      <c r="G425" s="1">
        <v>6</v>
      </c>
      <c r="H425" s="1">
        <v>800</v>
      </c>
      <c r="I425" s="1">
        <v>5</v>
      </c>
      <c r="J425" s="1">
        <v>4560</v>
      </c>
      <c r="K425" s="1">
        <v>453.54</v>
      </c>
      <c r="L425" s="1" t="str">
        <f>IF(K425&gt;=15000,"High Profit","Low Profit")</f>
        <v>Low Profit</v>
      </c>
      <c r="M425" s="1">
        <f>YEAR(B425)</f>
        <v>2025</v>
      </c>
      <c r="N425" s="1" t="str">
        <f>TEXT(B425,"mmmm")</f>
        <v>November</v>
      </c>
      <c r="O425" s="1" t="str">
        <f>IF(J425&gt;=100000,"Excellent", IF(J425&gt;=50000,"Good","Average"))</f>
        <v>Average</v>
      </c>
      <c r="P425" s="1">
        <f>(H425*G425)*(I425/100)</f>
        <v>240</v>
      </c>
      <c r="Q425" s="1">
        <f ca="1">J425-Q425</f>
        <v>0</v>
      </c>
    </row>
    <row r="426" spans="1:17" x14ac:dyDescent="0.25">
      <c r="A426" s="1">
        <v>1283</v>
      </c>
      <c r="B426" s="1" t="s">
        <v>253</v>
      </c>
      <c r="C426" s="1" t="s">
        <v>26</v>
      </c>
      <c r="D426" s="1" t="s">
        <v>13</v>
      </c>
      <c r="E426" s="1" t="s">
        <v>28</v>
      </c>
      <c r="F426" s="1" t="s">
        <v>15</v>
      </c>
      <c r="G426" s="1">
        <v>6</v>
      </c>
      <c r="H426" s="1">
        <v>800</v>
      </c>
      <c r="I426" s="1">
        <v>5</v>
      </c>
      <c r="J426" s="1">
        <v>4560</v>
      </c>
      <c r="K426" s="1">
        <v>378.38</v>
      </c>
      <c r="L426" s="1" t="str">
        <f>IF(K426&gt;=15000,"High Profit","Low Profit")</f>
        <v>Low Profit</v>
      </c>
      <c r="M426" s="1">
        <f>YEAR(B426)</f>
        <v>2025</v>
      </c>
      <c r="N426" s="1" t="str">
        <f>TEXT(B426,"mmmm")</f>
        <v>February</v>
      </c>
      <c r="O426" s="1" t="str">
        <f>IF(J426&gt;=100000,"Excellent", IF(J426&gt;=50000,"Good","Average"))</f>
        <v>Average</v>
      </c>
      <c r="P426" s="1">
        <f>(H426*G426)*(I426/100)</f>
        <v>240</v>
      </c>
      <c r="Q426" s="1">
        <f ca="1">J426-Q426</f>
        <v>0</v>
      </c>
    </row>
    <row r="427" spans="1:17" x14ac:dyDescent="0.25">
      <c r="A427" s="1">
        <v>1358</v>
      </c>
      <c r="B427" s="1" t="s">
        <v>289</v>
      </c>
      <c r="C427" s="1" t="s">
        <v>39</v>
      </c>
      <c r="D427" s="1" t="s">
        <v>17</v>
      </c>
      <c r="E427" s="1" t="s">
        <v>28</v>
      </c>
      <c r="F427" s="1" t="s">
        <v>15</v>
      </c>
      <c r="G427" s="1">
        <v>6</v>
      </c>
      <c r="H427" s="1">
        <v>800</v>
      </c>
      <c r="I427" s="1">
        <v>5</v>
      </c>
      <c r="J427" s="1">
        <v>4560</v>
      </c>
      <c r="K427" s="1">
        <v>961.51</v>
      </c>
      <c r="L427" s="1" t="str">
        <f>IF(K427&gt;=15000,"High Profit","Low Profit")</f>
        <v>Low Profit</v>
      </c>
      <c r="M427" s="1">
        <f>YEAR(B427)</f>
        <v>2025</v>
      </c>
      <c r="N427" s="1" t="str">
        <f>TEXT(B427,"mmmm")</f>
        <v>March</v>
      </c>
      <c r="O427" s="1" t="str">
        <f>IF(J427&gt;=100000,"Excellent", IF(J427&gt;=50000,"Good","Average"))</f>
        <v>Average</v>
      </c>
      <c r="P427" s="1">
        <f>(H427*G427)*(I427/100)</f>
        <v>240</v>
      </c>
      <c r="Q427" s="1">
        <f ca="1">J427-Q427</f>
        <v>0</v>
      </c>
    </row>
    <row r="428" spans="1:17" x14ac:dyDescent="0.25">
      <c r="A428" s="1">
        <v>1001</v>
      </c>
      <c r="B428" s="1" t="s">
        <v>11</v>
      </c>
      <c r="C428" s="1" t="s">
        <v>12</v>
      </c>
      <c r="D428" s="1" t="s">
        <v>13</v>
      </c>
      <c r="E428" s="1" t="s">
        <v>14</v>
      </c>
      <c r="F428" s="1" t="s">
        <v>15</v>
      </c>
      <c r="G428" s="1">
        <v>3</v>
      </c>
      <c r="H428" s="1">
        <v>1500</v>
      </c>
      <c r="I428" s="1">
        <v>0</v>
      </c>
      <c r="J428" s="1">
        <v>4500</v>
      </c>
      <c r="K428" s="1">
        <v>580.59</v>
      </c>
      <c r="L428" s="1" t="str">
        <f>IF(K428&gt;=15000,"High Profit","Low Profit")</f>
        <v>Low Profit</v>
      </c>
      <c r="M428" s="1">
        <f>YEAR(B428)</f>
        <v>2025</v>
      </c>
      <c r="N428" s="1" t="str">
        <f>TEXT(B428,"mmmm")</f>
        <v>August</v>
      </c>
      <c r="O428" s="1" t="str">
        <f>IF(J428&gt;=100000,"Excellent", IF(J428&gt;=50000,"Good","Average"))</f>
        <v>Average</v>
      </c>
      <c r="P428" s="1">
        <f>(H428*G428)*(I428/100)</f>
        <v>0</v>
      </c>
      <c r="Q428" s="1">
        <f ca="1">J428-Q428</f>
        <v>0</v>
      </c>
    </row>
    <row r="429" spans="1:17" x14ac:dyDescent="0.25">
      <c r="A429" s="1">
        <v>1044</v>
      </c>
      <c r="B429" s="1" t="s">
        <v>71</v>
      </c>
      <c r="C429" s="1" t="s">
        <v>39</v>
      </c>
      <c r="D429" s="1" t="s">
        <v>17</v>
      </c>
      <c r="E429" s="1" t="s">
        <v>14</v>
      </c>
      <c r="F429" s="1" t="s">
        <v>15</v>
      </c>
      <c r="G429" s="1">
        <v>3</v>
      </c>
      <c r="H429" s="1">
        <v>1500</v>
      </c>
      <c r="I429" s="1">
        <v>0</v>
      </c>
      <c r="J429" s="1">
        <v>4500</v>
      </c>
      <c r="K429" s="1">
        <v>826.28</v>
      </c>
      <c r="L429" s="1" t="str">
        <f>IF(K429&gt;=15000,"High Profit","Low Profit")</f>
        <v>Low Profit</v>
      </c>
      <c r="M429" s="1">
        <f>YEAR(B429)</f>
        <v>2025</v>
      </c>
      <c r="N429" s="1" t="str">
        <f>TEXT(B429,"mmmm")</f>
        <v>June</v>
      </c>
      <c r="O429" s="1" t="str">
        <f>IF(J429&gt;=100000,"Excellent", IF(J429&gt;=50000,"Good","Average"))</f>
        <v>Average</v>
      </c>
      <c r="P429" s="1">
        <f>(H429*G429)*(I429/100)</f>
        <v>0</v>
      </c>
      <c r="Q429" s="1">
        <f ca="1">J429-Q429</f>
        <v>0</v>
      </c>
    </row>
    <row r="430" spans="1:17" x14ac:dyDescent="0.25">
      <c r="A430" s="1">
        <v>1212</v>
      </c>
      <c r="B430" s="1" t="s">
        <v>206</v>
      </c>
      <c r="C430" s="1" t="s">
        <v>21</v>
      </c>
      <c r="D430" s="1" t="s">
        <v>17</v>
      </c>
      <c r="E430" s="1" t="s">
        <v>14</v>
      </c>
      <c r="F430" s="1" t="s">
        <v>15</v>
      </c>
      <c r="G430" s="1">
        <v>3</v>
      </c>
      <c r="H430" s="1">
        <v>1500</v>
      </c>
      <c r="I430" s="1">
        <v>0</v>
      </c>
      <c r="J430" s="1">
        <v>4500</v>
      </c>
      <c r="K430" s="1">
        <v>1094.19</v>
      </c>
      <c r="L430" s="1" t="str">
        <f>IF(K430&gt;=15000,"High Profit","Low Profit")</f>
        <v>Low Profit</v>
      </c>
      <c r="M430" s="1">
        <f>YEAR(B430)</f>
        <v>2025</v>
      </c>
      <c r="N430" s="1" t="str">
        <f>TEXT(B430,"mmmm")</f>
        <v>July</v>
      </c>
      <c r="O430" s="1" t="str">
        <f>IF(J430&gt;=100000,"Excellent", IF(J430&gt;=50000,"Good","Average"))</f>
        <v>Average</v>
      </c>
      <c r="P430" s="1">
        <f>(H430*G430)*(I430/100)</f>
        <v>0</v>
      </c>
      <c r="Q430" s="1">
        <f ca="1">J430-Q430</f>
        <v>0</v>
      </c>
    </row>
    <row r="431" spans="1:17" x14ac:dyDescent="0.25">
      <c r="A431" s="1">
        <v>1025</v>
      </c>
      <c r="B431" s="1" t="s">
        <v>56</v>
      </c>
      <c r="C431" s="1" t="s">
        <v>30</v>
      </c>
      <c r="D431" s="1" t="s">
        <v>17</v>
      </c>
      <c r="E431" s="1" t="s">
        <v>28</v>
      </c>
      <c r="F431" s="1" t="s">
        <v>15</v>
      </c>
      <c r="G431" s="1">
        <v>7</v>
      </c>
      <c r="H431" s="1">
        <v>800</v>
      </c>
      <c r="I431" s="1">
        <v>20</v>
      </c>
      <c r="J431" s="1">
        <v>4480</v>
      </c>
      <c r="K431" s="1">
        <v>743.93</v>
      </c>
      <c r="L431" s="1" t="str">
        <f>IF(K431&gt;=15000,"High Profit","Low Profit")</f>
        <v>Low Profit</v>
      </c>
      <c r="M431" s="1">
        <f>YEAR(B431)</f>
        <v>2025</v>
      </c>
      <c r="N431" s="1" t="str">
        <f>TEXT(B431,"mmmm")</f>
        <v>April</v>
      </c>
      <c r="O431" s="1" t="str">
        <f>IF(J431&gt;=100000,"Excellent", IF(J431&gt;=50000,"Good","Average"))</f>
        <v>Average</v>
      </c>
      <c r="P431" s="1">
        <f>(H431*G431)*(I431/100)</f>
        <v>1120</v>
      </c>
      <c r="Q431" s="1">
        <f ca="1">J431-Q431</f>
        <v>0</v>
      </c>
    </row>
    <row r="432" spans="1:17" x14ac:dyDescent="0.25">
      <c r="A432" s="1">
        <v>1191</v>
      </c>
      <c r="B432" s="1" t="s">
        <v>138</v>
      </c>
      <c r="C432" s="1" t="s">
        <v>39</v>
      </c>
      <c r="D432" s="1" t="s">
        <v>27</v>
      </c>
      <c r="E432" s="1" t="s">
        <v>28</v>
      </c>
      <c r="F432" s="1" t="s">
        <v>15</v>
      </c>
      <c r="G432" s="1">
        <v>7</v>
      </c>
      <c r="H432" s="1">
        <v>800</v>
      </c>
      <c r="I432" s="1">
        <v>20</v>
      </c>
      <c r="J432" s="1">
        <v>4480</v>
      </c>
      <c r="K432" s="1">
        <v>502.86</v>
      </c>
      <c r="L432" s="1" t="str">
        <f>IF(K432&gt;=15000,"High Profit","Low Profit")</f>
        <v>Low Profit</v>
      </c>
      <c r="M432" s="1">
        <f>YEAR(B432)</f>
        <v>2026</v>
      </c>
      <c r="N432" s="1" t="str">
        <f>TEXT(B432,"mmmm")</f>
        <v>February</v>
      </c>
      <c r="O432" s="1" t="str">
        <f>IF(J432&gt;=100000,"Excellent", IF(J432&gt;=50000,"Good","Average"))</f>
        <v>Average</v>
      </c>
      <c r="P432" s="1">
        <f>(H432*G432)*(I432/100)</f>
        <v>1120</v>
      </c>
      <c r="Q432" s="1">
        <f ca="1">J432-Q432</f>
        <v>0</v>
      </c>
    </row>
    <row r="433" spans="1:17" x14ac:dyDescent="0.25">
      <c r="A433" s="1">
        <v>1213</v>
      </c>
      <c r="B433" s="1" t="s">
        <v>207</v>
      </c>
      <c r="C433" s="1" t="s">
        <v>41</v>
      </c>
      <c r="D433" s="1" t="s">
        <v>27</v>
      </c>
      <c r="E433" s="1" t="s">
        <v>28</v>
      </c>
      <c r="F433" s="1" t="s">
        <v>15</v>
      </c>
      <c r="G433" s="1">
        <v>7</v>
      </c>
      <c r="H433" s="1">
        <v>800</v>
      </c>
      <c r="I433" s="1">
        <v>20</v>
      </c>
      <c r="J433" s="1">
        <v>4480</v>
      </c>
      <c r="K433" s="1">
        <v>941.67</v>
      </c>
      <c r="L433" s="1" t="str">
        <f>IF(K433&gt;=15000,"High Profit","Low Profit")</f>
        <v>Low Profit</v>
      </c>
      <c r="M433" s="1">
        <f>YEAR(B433)</f>
        <v>2025</v>
      </c>
      <c r="N433" s="1" t="str">
        <f>TEXT(B433,"mmmm")</f>
        <v>March</v>
      </c>
      <c r="O433" s="1" t="str">
        <f>IF(J433&gt;=100000,"Excellent", IF(J433&gt;=50000,"Good","Average"))</f>
        <v>Average</v>
      </c>
      <c r="P433" s="1">
        <f>(H433*G433)*(I433/100)</f>
        <v>1120</v>
      </c>
      <c r="Q433" s="1">
        <f ca="1">J433-Q433</f>
        <v>0</v>
      </c>
    </row>
    <row r="434" spans="1:17" x14ac:dyDescent="0.25">
      <c r="A434" s="1">
        <v>1240</v>
      </c>
      <c r="B434" s="1" t="s">
        <v>221</v>
      </c>
      <c r="C434" s="1" t="s">
        <v>47</v>
      </c>
      <c r="D434" s="1" t="s">
        <v>13</v>
      </c>
      <c r="E434" s="1" t="s">
        <v>28</v>
      </c>
      <c r="F434" s="1" t="s">
        <v>15</v>
      </c>
      <c r="G434" s="1">
        <v>6</v>
      </c>
      <c r="H434" s="1">
        <v>800</v>
      </c>
      <c r="I434" s="1">
        <v>10</v>
      </c>
      <c r="J434" s="1">
        <v>4320</v>
      </c>
      <c r="K434" s="1">
        <v>673.58</v>
      </c>
      <c r="L434" s="1" t="str">
        <f>IF(K434&gt;=15000,"High Profit","Low Profit")</f>
        <v>Low Profit</v>
      </c>
      <c r="M434" s="1">
        <f>YEAR(B434)</f>
        <v>2025</v>
      </c>
      <c r="N434" s="1" t="str">
        <f>TEXT(B434,"mmmm")</f>
        <v>July</v>
      </c>
      <c r="O434" s="1" t="str">
        <f>IF(J434&gt;=100000,"Excellent", IF(J434&gt;=50000,"Good","Average"))</f>
        <v>Average</v>
      </c>
      <c r="P434" s="1">
        <f>(H434*G434)*(I434/100)</f>
        <v>480</v>
      </c>
      <c r="Q434" s="1">
        <f ca="1">J434-Q434</f>
        <v>0</v>
      </c>
    </row>
    <row r="435" spans="1:17" x14ac:dyDescent="0.25">
      <c r="A435" s="1">
        <v>1364</v>
      </c>
      <c r="B435" s="1" t="s">
        <v>293</v>
      </c>
      <c r="C435" s="1" t="s">
        <v>12</v>
      </c>
      <c r="D435" s="1" t="s">
        <v>27</v>
      </c>
      <c r="E435" s="1" t="s">
        <v>28</v>
      </c>
      <c r="F435" s="1" t="s">
        <v>15</v>
      </c>
      <c r="G435" s="1">
        <v>6</v>
      </c>
      <c r="H435" s="1">
        <v>800</v>
      </c>
      <c r="I435" s="1">
        <v>10</v>
      </c>
      <c r="J435" s="1">
        <v>4320</v>
      </c>
      <c r="K435" s="1">
        <v>496.57</v>
      </c>
      <c r="L435" s="1" t="str">
        <f>IF(K435&gt;=15000,"High Profit","Low Profit")</f>
        <v>Low Profit</v>
      </c>
      <c r="M435" s="1">
        <f>YEAR(B435)</f>
        <v>2025</v>
      </c>
      <c r="N435" s="1" t="str">
        <f>TEXT(B435,"mmmm")</f>
        <v>December</v>
      </c>
      <c r="O435" s="1" t="str">
        <f>IF(J435&gt;=100000,"Excellent", IF(J435&gt;=50000,"Good","Average"))</f>
        <v>Average</v>
      </c>
      <c r="P435" s="1">
        <f>(H435*G435)*(I435/100)</f>
        <v>480</v>
      </c>
      <c r="Q435" s="1">
        <f ca="1">J435-Q435</f>
        <v>0</v>
      </c>
    </row>
    <row r="436" spans="1:17" x14ac:dyDescent="0.25">
      <c r="A436" s="1">
        <v>1195</v>
      </c>
      <c r="B436" s="1" t="s">
        <v>195</v>
      </c>
      <c r="C436" s="1" t="s">
        <v>39</v>
      </c>
      <c r="D436" s="1" t="s">
        <v>27</v>
      </c>
      <c r="E436" s="1" t="s">
        <v>14</v>
      </c>
      <c r="F436" s="1" t="s">
        <v>15</v>
      </c>
      <c r="G436" s="1">
        <v>3</v>
      </c>
      <c r="H436" s="1">
        <v>1500</v>
      </c>
      <c r="I436" s="1">
        <v>5</v>
      </c>
      <c r="J436" s="1">
        <v>4275</v>
      </c>
      <c r="K436" s="1">
        <v>765.86</v>
      </c>
      <c r="L436" s="1" t="str">
        <f>IF(K436&gt;=15000,"High Profit","Low Profit")</f>
        <v>Low Profit</v>
      </c>
      <c r="M436" s="1">
        <f>YEAR(B436)</f>
        <v>2025</v>
      </c>
      <c r="N436" s="1" t="str">
        <f>TEXT(B436,"mmmm")</f>
        <v>March</v>
      </c>
      <c r="O436" s="1" t="str">
        <f>IF(J436&gt;=100000,"Excellent", IF(J436&gt;=50000,"Good","Average"))</f>
        <v>Average</v>
      </c>
      <c r="P436" s="1">
        <f>(H436*G436)*(I436/100)</f>
        <v>225</v>
      </c>
      <c r="Q436" s="1">
        <f ca="1">J436-Q436</f>
        <v>0</v>
      </c>
    </row>
    <row r="437" spans="1:17" x14ac:dyDescent="0.25">
      <c r="A437" s="1">
        <v>1332</v>
      </c>
      <c r="B437" s="1" t="s">
        <v>200</v>
      </c>
      <c r="C437" s="1" t="s">
        <v>47</v>
      </c>
      <c r="D437" s="1" t="s">
        <v>27</v>
      </c>
      <c r="E437" s="1" t="s">
        <v>14</v>
      </c>
      <c r="F437" s="1" t="s">
        <v>15</v>
      </c>
      <c r="G437" s="1">
        <v>3</v>
      </c>
      <c r="H437" s="1">
        <v>1500</v>
      </c>
      <c r="I437" s="1">
        <v>5</v>
      </c>
      <c r="J437" s="1">
        <v>4275</v>
      </c>
      <c r="K437" s="1">
        <v>918.62</v>
      </c>
      <c r="L437" s="1" t="str">
        <f>IF(K437&gt;=15000,"High Profit","Low Profit")</f>
        <v>Low Profit</v>
      </c>
      <c r="M437" s="1">
        <f>YEAR(B437)</f>
        <v>2025</v>
      </c>
      <c r="N437" s="1" t="str">
        <f>TEXT(B437,"mmmm")</f>
        <v>June</v>
      </c>
      <c r="O437" s="1" t="str">
        <f>IF(J437&gt;=100000,"Excellent", IF(J437&gt;=50000,"Good","Average"))</f>
        <v>Average</v>
      </c>
      <c r="P437" s="1">
        <f>(H437*G437)*(I437/100)</f>
        <v>225</v>
      </c>
      <c r="Q437" s="1">
        <f ca="1">J437-Q437</f>
        <v>0</v>
      </c>
    </row>
    <row r="438" spans="1:17" x14ac:dyDescent="0.25">
      <c r="A438" s="1">
        <v>1388</v>
      </c>
      <c r="B438" s="1" t="s">
        <v>303</v>
      </c>
      <c r="C438" s="1" t="s">
        <v>26</v>
      </c>
      <c r="D438" s="1" t="s">
        <v>17</v>
      </c>
      <c r="E438" s="1" t="s">
        <v>14</v>
      </c>
      <c r="F438" s="1" t="s">
        <v>15</v>
      </c>
      <c r="G438" s="1">
        <v>3</v>
      </c>
      <c r="H438" s="1">
        <v>1500</v>
      </c>
      <c r="I438" s="1">
        <v>10</v>
      </c>
      <c r="J438" s="1">
        <v>4050</v>
      </c>
      <c r="K438" s="1">
        <v>693.85</v>
      </c>
      <c r="L438" s="1" t="str">
        <f>IF(K438&gt;=15000,"High Profit","Low Profit")</f>
        <v>Low Profit</v>
      </c>
      <c r="M438" s="1">
        <f>YEAR(B438)</f>
        <v>2025</v>
      </c>
      <c r="N438" s="1" t="str">
        <f>TEXT(B438,"mmmm")</f>
        <v>December</v>
      </c>
      <c r="O438" s="1" t="str">
        <f>IF(J438&gt;=100000,"Excellent", IF(J438&gt;=50000,"Good","Average"))</f>
        <v>Average</v>
      </c>
      <c r="P438" s="1">
        <f>(H438*G438)*(I438/100)</f>
        <v>450</v>
      </c>
      <c r="Q438" s="1">
        <f ca="1">J438-Q438</f>
        <v>0</v>
      </c>
    </row>
    <row r="439" spans="1:17" x14ac:dyDescent="0.25">
      <c r="A439" s="1">
        <v>1327</v>
      </c>
      <c r="B439" s="1" t="s">
        <v>152</v>
      </c>
      <c r="C439" s="1" t="s">
        <v>41</v>
      </c>
      <c r="D439" s="1" t="s">
        <v>27</v>
      </c>
      <c r="E439" s="1" t="s">
        <v>28</v>
      </c>
      <c r="F439" s="1" t="s">
        <v>15</v>
      </c>
      <c r="G439" s="1">
        <v>5</v>
      </c>
      <c r="H439" s="1">
        <v>800</v>
      </c>
      <c r="I439" s="1">
        <v>0</v>
      </c>
      <c r="J439" s="1">
        <v>4000</v>
      </c>
      <c r="K439" s="1">
        <v>922.38</v>
      </c>
      <c r="L439" s="1" t="str">
        <f>IF(K439&gt;=15000,"High Profit","Low Profit")</f>
        <v>Low Profit</v>
      </c>
      <c r="M439" s="1">
        <f>YEAR(B439)</f>
        <v>2026</v>
      </c>
      <c r="N439" s="1" t="str">
        <f>TEXT(B439,"mmmm")</f>
        <v>June</v>
      </c>
      <c r="O439" s="1" t="str">
        <f>IF(J439&gt;=100000,"Excellent", IF(J439&gt;=50000,"Good","Average"))</f>
        <v>Average</v>
      </c>
      <c r="P439" s="1">
        <f>(H439*G439)*(I439/100)</f>
        <v>0</v>
      </c>
      <c r="Q439" s="1">
        <f ca="1">J439-Q439</f>
        <v>0</v>
      </c>
    </row>
    <row r="440" spans="1:17" x14ac:dyDescent="0.25">
      <c r="A440" s="1">
        <v>1177</v>
      </c>
      <c r="B440" s="1" t="s">
        <v>182</v>
      </c>
      <c r="C440" s="1" t="s">
        <v>21</v>
      </c>
      <c r="D440" s="1" t="s">
        <v>22</v>
      </c>
      <c r="E440" s="1" t="s">
        <v>28</v>
      </c>
      <c r="F440" s="1" t="s">
        <v>15</v>
      </c>
      <c r="G440" s="1">
        <v>6</v>
      </c>
      <c r="H440" s="1">
        <v>800</v>
      </c>
      <c r="I440" s="1">
        <v>20</v>
      </c>
      <c r="J440" s="1">
        <v>3840</v>
      </c>
      <c r="K440" s="1">
        <v>378.03</v>
      </c>
      <c r="L440" s="1" t="str">
        <f>IF(K440&gt;=15000,"High Profit","Low Profit")</f>
        <v>Low Profit</v>
      </c>
      <c r="M440" s="1">
        <f>YEAR(B440)</f>
        <v>2025</v>
      </c>
      <c r="N440" s="1" t="str">
        <f>TEXT(B440,"mmmm")</f>
        <v>September</v>
      </c>
      <c r="O440" s="1" t="str">
        <f>IF(J440&gt;=100000,"Excellent", IF(J440&gt;=50000,"Good","Average"))</f>
        <v>Average</v>
      </c>
      <c r="P440" s="1">
        <f>(H440*G440)*(I440/100)</f>
        <v>960</v>
      </c>
      <c r="Q440" s="1">
        <f ca="1">J440-Q440</f>
        <v>0</v>
      </c>
    </row>
    <row r="441" spans="1:17" x14ac:dyDescent="0.25">
      <c r="A441" s="1">
        <v>1124</v>
      </c>
      <c r="B441" s="1" t="s">
        <v>145</v>
      </c>
      <c r="C441" s="1" t="s">
        <v>12</v>
      </c>
      <c r="D441" s="1" t="s">
        <v>22</v>
      </c>
      <c r="E441" s="1" t="s">
        <v>14</v>
      </c>
      <c r="F441" s="1" t="s">
        <v>15</v>
      </c>
      <c r="G441" s="1">
        <v>3</v>
      </c>
      <c r="H441" s="1">
        <v>1500</v>
      </c>
      <c r="I441" s="1">
        <v>15</v>
      </c>
      <c r="J441" s="1">
        <v>3825</v>
      </c>
      <c r="K441" s="1">
        <v>329.78</v>
      </c>
      <c r="L441" s="1" t="str">
        <f>IF(K441&gt;=15000,"High Profit","Low Profit")</f>
        <v>Low Profit</v>
      </c>
      <c r="M441" s="1">
        <f>YEAR(B441)</f>
        <v>2025</v>
      </c>
      <c r="N441" s="1" t="str">
        <f>TEXT(B441,"mmmm")</f>
        <v>May</v>
      </c>
      <c r="O441" s="1" t="str">
        <f>IF(J441&gt;=100000,"Excellent", IF(J441&gt;=50000,"Good","Average"))</f>
        <v>Average</v>
      </c>
      <c r="P441" s="1">
        <f>(H441*G441)*(I441/100)</f>
        <v>675</v>
      </c>
      <c r="Q441" s="1">
        <f ca="1">J441-Q441</f>
        <v>0</v>
      </c>
    </row>
    <row r="442" spans="1:17" x14ac:dyDescent="0.25">
      <c r="A442" s="1">
        <v>1343</v>
      </c>
      <c r="B442" s="1" t="s">
        <v>282</v>
      </c>
      <c r="C442" s="1" t="s">
        <v>32</v>
      </c>
      <c r="D442" s="1" t="s">
        <v>22</v>
      </c>
      <c r="E442" s="1" t="s">
        <v>28</v>
      </c>
      <c r="F442" s="1" t="s">
        <v>15</v>
      </c>
      <c r="G442" s="1">
        <v>5</v>
      </c>
      <c r="H442" s="1">
        <v>800</v>
      </c>
      <c r="I442" s="1">
        <v>5</v>
      </c>
      <c r="J442" s="1">
        <v>3800</v>
      </c>
      <c r="K442" s="1">
        <v>637.19000000000005</v>
      </c>
      <c r="L442" s="1" t="str">
        <f>IF(K442&gt;=15000,"High Profit","Low Profit")</f>
        <v>Low Profit</v>
      </c>
      <c r="M442" s="1">
        <f>YEAR(B442)</f>
        <v>2026</v>
      </c>
      <c r="N442" s="1" t="str">
        <f>TEXT(B442,"mmmm")</f>
        <v>January</v>
      </c>
      <c r="O442" s="1" t="str">
        <f>IF(J442&gt;=100000,"Excellent", IF(J442&gt;=50000,"Good","Average"))</f>
        <v>Average</v>
      </c>
      <c r="P442" s="1">
        <f>(H442*G442)*(I442/100)</f>
        <v>200</v>
      </c>
      <c r="Q442" s="1">
        <f ca="1">J442-Q442</f>
        <v>0</v>
      </c>
    </row>
    <row r="443" spans="1:17" x14ac:dyDescent="0.25">
      <c r="A443" s="1">
        <v>1088</v>
      </c>
      <c r="B443" s="1" t="s">
        <v>112</v>
      </c>
      <c r="C443" s="1" t="s">
        <v>47</v>
      </c>
      <c r="D443" s="1" t="s">
        <v>17</v>
      </c>
      <c r="E443" s="1" t="s">
        <v>28</v>
      </c>
      <c r="F443" s="1" t="s">
        <v>15</v>
      </c>
      <c r="G443" s="1">
        <v>5</v>
      </c>
      <c r="H443" s="1">
        <v>800</v>
      </c>
      <c r="I443" s="1">
        <v>10</v>
      </c>
      <c r="J443" s="1">
        <v>3600</v>
      </c>
      <c r="K443" s="1">
        <v>664.16</v>
      </c>
      <c r="L443" s="1" t="str">
        <f>IF(K443&gt;=15000,"High Profit","Low Profit")</f>
        <v>Low Profit</v>
      </c>
      <c r="M443" s="1">
        <f>YEAR(B443)</f>
        <v>2025</v>
      </c>
      <c r="N443" s="1" t="str">
        <f>TEXT(B443,"mmmm")</f>
        <v>February</v>
      </c>
      <c r="O443" s="1" t="str">
        <f>IF(J443&gt;=100000,"Excellent", IF(J443&gt;=50000,"Good","Average"))</f>
        <v>Average</v>
      </c>
      <c r="P443" s="1">
        <f>(H443*G443)*(I443/100)</f>
        <v>400</v>
      </c>
      <c r="Q443" s="1">
        <f ca="1">J443-Q443</f>
        <v>0</v>
      </c>
    </row>
    <row r="444" spans="1:17" x14ac:dyDescent="0.25">
      <c r="A444" s="1">
        <v>1337</v>
      </c>
      <c r="B444" s="1" t="s">
        <v>163</v>
      </c>
      <c r="C444" s="1" t="s">
        <v>41</v>
      </c>
      <c r="D444" s="1" t="s">
        <v>13</v>
      </c>
      <c r="E444" s="1" t="s">
        <v>28</v>
      </c>
      <c r="F444" s="1" t="s">
        <v>15</v>
      </c>
      <c r="G444" s="1">
        <v>5</v>
      </c>
      <c r="H444" s="1">
        <v>800</v>
      </c>
      <c r="I444" s="1">
        <v>10</v>
      </c>
      <c r="J444" s="1">
        <v>3600</v>
      </c>
      <c r="K444" s="1">
        <v>319.91000000000003</v>
      </c>
      <c r="L444" s="1" t="str">
        <f>IF(K444&gt;=15000,"High Profit","Low Profit")</f>
        <v>Low Profit</v>
      </c>
      <c r="M444" s="1">
        <f>YEAR(B444)</f>
        <v>2025</v>
      </c>
      <c r="N444" s="1" t="str">
        <f>TEXT(B444,"mmmm")</f>
        <v>March</v>
      </c>
      <c r="O444" s="1" t="str">
        <f>IF(J444&gt;=100000,"Excellent", IF(J444&gt;=50000,"Good","Average"))</f>
        <v>Average</v>
      </c>
      <c r="P444" s="1">
        <f>(H444*G444)*(I444/100)</f>
        <v>400</v>
      </c>
      <c r="Q444" s="1">
        <f ca="1">J444-Q444</f>
        <v>0</v>
      </c>
    </row>
    <row r="445" spans="1:17" x14ac:dyDescent="0.25">
      <c r="A445" s="1">
        <v>1411</v>
      </c>
      <c r="B445" s="1" t="s">
        <v>206</v>
      </c>
      <c r="C445" s="1" t="s">
        <v>47</v>
      </c>
      <c r="D445" s="1" t="s">
        <v>27</v>
      </c>
      <c r="E445" s="1" t="s">
        <v>14</v>
      </c>
      <c r="F445" s="1" t="s">
        <v>15</v>
      </c>
      <c r="G445" s="1">
        <v>3</v>
      </c>
      <c r="H445" s="1">
        <v>1500</v>
      </c>
      <c r="I445" s="1">
        <v>20</v>
      </c>
      <c r="J445" s="1">
        <v>3600</v>
      </c>
      <c r="K445" s="1">
        <v>895.19</v>
      </c>
      <c r="L445" s="1" t="str">
        <f>IF(K445&gt;=15000,"High Profit","Low Profit")</f>
        <v>Low Profit</v>
      </c>
      <c r="M445" s="1">
        <f>YEAR(B445)</f>
        <v>2025</v>
      </c>
      <c r="N445" s="1" t="str">
        <f>TEXT(B445,"mmmm")</f>
        <v>July</v>
      </c>
      <c r="O445" s="1" t="str">
        <f>IF(J445&gt;=100000,"Excellent", IF(J445&gt;=50000,"Good","Average"))</f>
        <v>Average</v>
      </c>
      <c r="P445" s="1">
        <f>(H445*G445)*(I445/100)</f>
        <v>900</v>
      </c>
      <c r="Q445" s="1">
        <f ca="1">J445-Q445</f>
        <v>0</v>
      </c>
    </row>
    <row r="446" spans="1:17" x14ac:dyDescent="0.25">
      <c r="A446" s="1">
        <v>1187</v>
      </c>
      <c r="B446" s="1" t="s">
        <v>189</v>
      </c>
      <c r="C446" s="1" t="s">
        <v>26</v>
      </c>
      <c r="D446" s="1" t="s">
        <v>27</v>
      </c>
      <c r="E446" s="1" t="s">
        <v>28</v>
      </c>
      <c r="F446" s="1" t="s">
        <v>15</v>
      </c>
      <c r="G446" s="1">
        <v>5</v>
      </c>
      <c r="H446" s="1">
        <v>800</v>
      </c>
      <c r="I446" s="1">
        <v>15</v>
      </c>
      <c r="J446" s="1">
        <v>3400</v>
      </c>
      <c r="K446" s="1">
        <v>374.11</v>
      </c>
      <c r="L446" s="1" t="str">
        <f>IF(K446&gt;=15000,"High Profit","Low Profit")</f>
        <v>Low Profit</v>
      </c>
      <c r="M446" s="1">
        <f>YEAR(B446)</f>
        <v>2025</v>
      </c>
      <c r="N446" s="1" t="str">
        <f>TEXT(B446,"mmmm")</f>
        <v>May</v>
      </c>
      <c r="O446" s="1" t="str">
        <f>IF(J446&gt;=100000,"Excellent", IF(J446&gt;=50000,"Good","Average"))</f>
        <v>Average</v>
      </c>
      <c r="P446" s="1">
        <f>(H446*G446)*(I446/100)</f>
        <v>600</v>
      </c>
      <c r="Q446" s="1">
        <f ca="1">J446-Q446</f>
        <v>0</v>
      </c>
    </row>
    <row r="447" spans="1:17" x14ac:dyDescent="0.25">
      <c r="A447" s="1">
        <v>1326</v>
      </c>
      <c r="B447" s="1" t="s">
        <v>278</v>
      </c>
      <c r="C447" s="1" t="s">
        <v>36</v>
      </c>
      <c r="D447" s="1" t="s">
        <v>13</v>
      </c>
      <c r="E447" s="1" t="s">
        <v>28</v>
      </c>
      <c r="F447" s="1" t="s">
        <v>15</v>
      </c>
      <c r="G447" s="1">
        <v>5</v>
      </c>
      <c r="H447" s="1">
        <v>800</v>
      </c>
      <c r="I447" s="1">
        <v>15</v>
      </c>
      <c r="J447" s="1">
        <v>3400</v>
      </c>
      <c r="K447" s="1">
        <v>361.36</v>
      </c>
      <c r="L447" s="1" t="str">
        <f>IF(K447&gt;=15000,"High Profit","Low Profit")</f>
        <v>Low Profit</v>
      </c>
      <c r="M447" s="1">
        <f>YEAR(B447)</f>
        <v>2025</v>
      </c>
      <c r="N447" s="1" t="str">
        <f>TEXT(B447,"mmmm")</f>
        <v>June</v>
      </c>
      <c r="O447" s="1" t="str">
        <f>IF(J447&gt;=100000,"Excellent", IF(J447&gt;=50000,"Good","Average"))</f>
        <v>Average</v>
      </c>
      <c r="P447" s="1">
        <f>(H447*G447)*(I447/100)</f>
        <v>600</v>
      </c>
      <c r="Q447" s="1">
        <f ca="1">J447-Q447</f>
        <v>0</v>
      </c>
    </row>
    <row r="448" spans="1:17" x14ac:dyDescent="0.25">
      <c r="A448" s="1">
        <v>1385</v>
      </c>
      <c r="B448" s="1" t="s">
        <v>302</v>
      </c>
      <c r="C448" s="1" t="s">
        <v>45</v>
      </c>
      <c r="D448" s="1" t="s">
        <v>27</v>
      </c>
      <c r="E448" s="1" t="s">
        <v>28</v>
      </c>
      <c r="F448" s="1" t="s">
        <v>15</v>
      </c>
      <c r="G448" s="1">
        <v>5</v>
      </c>
      <c r="H448" s="1">
        <v>800</v>
      </c>
      <c r="I448" s="1">
        <v>15</v>
      </c>
      <c r="J448" s="1">
        <v>3400</v>
      </c>
      <c r="K448" s="1">
        <v>780.97</v>
      </c>
      <c r="L448" s="1" t="str">
        <f>IF(K448&gt;=15000,"High Profit","Low Profit")</f>
        <v>Low Profit</v>
      </c>
      <c r="M448" s="1">
        <f>YEAR(B448)</f>
        <v>2025</v>
      </c>
      <c r="N448" s="1" t="str">
        <f>TEXT(B448,"mmmm")</f>
        <v>January</v>
      </c>
      <c r="O448" s="1" t="str">
        <f>IF(J448&gt;=100000,"Excellent", IF(J448&gt;=50000,"Good","Average"))</f>
        <v>Average</v>
      </c>
      <c r="P448" s="1">
        <f>(H448*G448)*(I448/100)</f>
        <v>600</v>
      </c>
      <c r="Q448" s="1">
        <f ca="1">J448-Q448</f>
        <v>0</v>
      </c>
    </row>
    <row r="449" spans="1:17" x14ac:dyDescent="0.25">
      <c r="A449" s="1">
        <v>1403</v>
      </c>
      <c r="B449" s="1" t="s">
        <v>310</v>
      </c>
      <c r="C449" s="1" t="s">
        <v>47</v>
      </c>
      <c r="D449" s="1" t="s">
        <v>17</v>
      </c>
      <c r="E449" s="1" t="s">
        <v>28</v>
      </c>
      <c r="F449" s="1" t="s">
        <v>15</v>
      </c>
      <c r="G449" s="1">
        <v>4</v>
      </c>
      <c r="H449" s="1">
        <v>800</v>
      </c>
      <c r="I449" s="1">
        <v>0</v>
      </c>
      <c r="J449" s="1">
        <v>3200</v>
      </c>
      <c r="K449" s="1">
        <v>340.53</v>
      </c>
      <c r="L449" s="1" t="str">
        <f>IF(K449&gt;=15000,"High Profit","Low Profit")</f>
        <v>Low Profit</v>
      </c>
      <c r="M449" s="1">
        <f>YEAR(B449)</f>
        <v>2025</v>
      </c>
      <c r="N449" s="1" t="str">
        <f>TEXT(B449,"mmmm")</f>
        <v>April</v>
      </c>
      <c r="O449" s="1" t="str">
        <f>IF(J449&gt;=100000,"Excellent", IF(J449&gt;=50000,"Good","Average"))</f>
        <v>Average</v>
      </c>
      <c r="P449" s="1">
        <f>(H449*G449)*(I449/100)</f>
        <v>0</v>
      </c>
      <c r="Q449" s="1">
        <f ca="1">J449-Q449</f>
        <v>0</v>
      </c>
    </row>
    <row r="450" spans="1:17" x14ac:dyDescent="0.25">
      <c r="A450" s="1">
        <v>1455</v>
      </c>
      <c r="B450" s="1" t="s">
        <v>188</v>
      </c>
      <c r="C450" s="1" t="s">
        <v>47</v>
      </c>
      <c r="D450" s="1" t="s">
        <v>22</v>
      </c>
      <c r="E450" s="1" t="s">
        <v>28</v>
      </c>
      <c r="F450" s="1" t="s">
        <v>15</v>
      </c>
      <c r="G450" s="1">
        <v>5</v>
      </c>
      <c r="H450" s="1">
        <v>800</v>
      </c>
      <c r="I450" s="1">
        <v>20</v>
      </c>
      <c r="J450" s="1">
        <v>3200</v>
      </c>
      <c r="K450" s="1">
        <v>690.89</v>
      </c>
      <c r="L450" s="1" t="str">
        <f>IF(K450&gt;=15000,"High Profit","Low Profit")</f>
        <v>Low Profit</v>
      </c>
      <c r="M450" s="1">
        <f>YEAR(B450)</f>
        <v>2025</v>
      </c>
      <c r="N450" s="1" t="str">
        <f>TEXT(B450,"mmmm")</f>
        <v>September</v>
      </c>
      <c r="O450" s="1" t="str">
        <f>IF(J450&gt;=100000,"Excellent", IF(J450&gt;=50000,"Good","Average"))</f>
        <v>Average</v>
      </c>
      <c r="P450" s="1">
        <f>(H450*G450)*(I450/100)</f>
        <v>800</v>
      </c>
      <c r="Q450" s="1">
        <f ca="1">J450-Q450</f>
        <v>0</v>
      </c>
    </row>
    <row r="451" spans="1:17" x14ac:dyDescent="0.25">
      <c r="A451" s="1">
        <v>1205</v>
      </c>
      <c r="B451" s="1" t="s">
        <v>202</v>
      </c>
      <c r="C451" s="1" t="s">
        <v>45</v>
      </c>
      <c r="D451" s="1" t="s">
        <v>27</v>
      </c>
      <c r="E451" s="1" t="s">
        <v>28</v>
      </c>
      <c r="F451" s="1" t="s">
        <v>15</v>
      </c>
      <c r="G451" s="1">
        <v>4</v>
      </c>
      <c r="H451" s="1">
        <v>800</v>
      </c>
      <c r="I451" s="1">
        <v>5</v>
      </c>
      <c r="J451" s="1">
        <v>3040</v>
      </c>
      <c r="K451" s="1">
        <v>357.93</v>
      </c>
      <c r="L451" s="1" t="str">
        <f>IF(K451&gt;=15000,"High Profit","Low Profit")</f>
        <v>Low Profit</v>
      </c>
      <c r="M451" s="1">
        <f>YEAR(B451)</f>
        <v>2025</v>
      </c>
      <c r="N451" s="1" t="str">
        <f>TEXT(B451,"mmmm")</f>
        <v>April</v>
      </c>
      <c r="O451" s="1" t="str">
        <f>IF(J451&gt;=100000,"Excellent", IF(J451&gt;=50000,"Good","Average"))</f>
        <v>Average</v>
      </c>
      <c r="P451" s="1">
        <f>(H451*G451)*(I451/100)</f>
        <v>160</v>
      </c>
      <c r="Q451" s="1">
        <f ca="1">J451-Q451</f>
        <v>0</v>
      </c>
    </row>
    <row r="452" spans="1:17" x14ac:dyDescent="0.25">
      <c r="A452" s="1">
        <v>1329</v>
      </c>
      <c r="B452" s="1" t="s">
        <v>279</v>
      </c>
      <c r="C452" s="1" t="s">
        <v>47</v>
      </c>
      <c r="D452" s="1" t="s">
        <v>17</v>
      </c>
      <c r="E452" s="1" t="s">
        <v>28</v>
      </c>
      <c r="F452" s="1" t="s">
        <v>15</v>
      </c>
      <c r="G452" s="1">
        <v>4</v>
      </c>
      <c r="H452" s="1">
        <v>800</v>
      </c>
      <c r="I452" s="1">
        <v>5</v>
      </c>
      <c r="J452" s="1">
        <v>3040</v>
      </c>
      <c r="K452" s="1">
        <v>596.26</v>
      </c>
      <c r="L452" s="1" t="str">
        <f>IF(K452&gt;=15000,"High Profit","Low Profit")</f>
        <v>Low Profit</v>
      </c>
      <c r="M452" s="1">
        <f>YEAR(B452)</f>
        <v>2025</v>
      </c>
      <c r="N452" s="1" t="str">
        <f>TEXT(B452,"mmmm")</f>
        <v>September</v>
      </c>
      <c r="O452" s="1" t="str">
        <f>IF(J452&gt;=100000,"Excellent", IF(J452&gt;=50000,"Good","Average"))</f>
        <v>Average</v>
      </c>
      <c r="P452" s="1">
        <f>(H452*G452)*(I452/100)</f>
        <v>160</v>
      </c>
      <c r="Q452" s="1">
        <f ca="1">J452-Q452</f>
        <v>0</v>
      </c>
    </row>
    <row r="453" spans="1:17" x14ac:dyDescent="0.25">
      <c r="A453" s="1">
        <v>1390</v>
      </c>
      <c r="B453" s="1" t="s">
        <v>173</v>
      </c>
      <c r="C453" s="1" t="s">
        <v>41</v>
      </c>
      <c r="D453" s="1" t="s">
        <v>17</v>
      </c>
      <c r="E453" s="1" t="s">
        <v>14</v>
      </c>
      <c r="F453" s="1" t="s">
        <v>15</v>
      </c>
      <c r="G453" s="1">
        <v>2</v>
      </c>
      <c r="H453" s="1">
        <v>1500</v>
      </c>
      <c r="I453" s="1">
        <v>0</v>
      </c>
      <c r="J453" s="1">
        <v>3000</v>
      </c>
      <c r="K453" s="1">
        <v>522.39</v>
      </c>
      <c r="L453" s="1" t="str">
        <f>IF(K453&gt;=15000,"High Profit","Low Profit")</f>
        <v>Low Profit</v>
      </c>
      <c r="M453" s="1">
        <f>YEAR(B453)</f>
        <v>2026</v>
      </c>
      <c r="N453" s="1" t="str">
        <f>TEXT(B453,"mmmm")</f>
        <v>January</v>
      </c>
      <c r="O453" s="1" t="str">
        <f>IF(J453&gt;=100000,"Excellent", IF(J453&gt;=50000,"Good","Average"))</f>
        <v>Average</v>
      </c>
      <c r="P453" s="1">
        <f>(H453*G453)*(I453/100)</f>
        <v>0</v>
      </c>
      <c r="Q453" s="1">
        <f ca="1">J453-Q453</f>
        <v>0</v>
      </c>
    </row>
    <row r="454" spans="1:17" x14ac:dyDescent="0.25">
      <c r="A454" s="1">
        <v>1435</v>
      </c>
      <c r="B454" s="1" t="s">
        <v>91</v>
      </c>
      <c r="C454" s="1" t="s">
        <v>41</v>
      </c>
      <c r="D454" s="1" t="s">
        <v>22</v>
      </c>
      <c r="E454" s="1" t="s">
        <v>14</v>
      </c>
      <c r="F454" s="1" t="s">
        <v>15</v>
      </c>
      <c r="G454" s="1">
        <v>2</v>
      </c>
      <c r="H454" s="1">
        <v>1500</v>
      </c>
      <c r="I454" s="1">
        <v>0</v>
      </c>
      <c r="J454" s="1">
        <v>3000</v>
      </c>
      <c r="K454" s="1">
        <v>608.44000000000005</v>
      </c>
      <c r="L454" s="1" t="str">
        <f>IF(K454&gt;=15000,"High Profit","Low Profit")</f>
        <v>Low Profit</v>
      </c>
      <c r="M454" s="1">
        <f>YEAR(B454)</f>
        <v>2025</v>
      </c>
      <c r="N454" s="1" t="str">
        <f>TEXT(B454,"mmmm")</f>
        <v>January</v>
      </c>
      <c r="O454" s="1" t="str">
        <f>IF(J454&gt;=100000,"Excellent", IF(J454&gt;=50000,"Good","Average"))</f>
        <v>Average</v>
      </c>
      <c r="P454" s="1">
        <f>(H454*G454)*(I454/100)</f>
        <v>0</v>
      </c>
      <c r="Q454" s="1">
        <f ca="1">J454-Q454</f>
        <v>0</v>
      </c>
    </row>
    <row r="455" spans="1:17" x14ac:dyDescent="0.25">
      <c r="A455" s="1">
        <v>1444</v>
      </c>
      <c r="B455" s="1" t="s">
        <v>246</v>
      </c>
      <c r="C455" s="1" t="s">
        <v>21</v>
      </c>
      <c r="D455" s="1" t="s">
        <v>13</v>
      </c>
      <c r="E455" s="1" t="s">
        <v>14</v>
      </c>
      <c r="F455" s="1" t="s">
        <v>15</v>
      </c>
      <c r="G455" s="1">
        <v>2</v>
      </c>
      <c r="H455" s="1">
        <v>1500</v>
      </c>
      <c r="I455" s="1">
        <v>0</v>
      </c>
      <c r="J455" s="1">
        <v>3000</v>
      </c>
      <c r="K455" s="1">
        <v>548.48</v>
      </c>
      <c r="L455" s="1" t="str">
        <f>IF(K455&gt;=15000,"High Profit","Low Profit")</f>
        <v>Low Profit</v>
      </c>
      <c r="M455" s="1">
        <f>YEAR(B455)</f>
        <v>2025</v>
      </c>
      <c r="N455" s="1" t="str">
        <f>TEXT(B455,"mmmm")</f>
        <v>February</v>
      </c>
      <c r="O455" s="1" t="str">
        <f>IF(J455&gt;=100000,"Excellent", IF(J455&gt;=50000,"Good","Average"))</f>
        <v>Average</v>
      </c>
      <c r="P455" s="1">
        <f>(H455*G455)*(I455/100)</f>
        <v>0</v>
      </c>
      <c r="Q455" s="1">
        <f ca="1">J455-Q455</f>
        <v>0</v>
      </c>
    </row>
    <row r="456" spans="1:17" x14ac:dyDescent="0.25">
      <c r="A456" s="1">
        <v>1103</v>
      </c>
      <c r="B456" s="1" t="s">
        <v>126</v>
      </c>
      <c r="C456" s="1" t="s">
        <v>39</v>
      </c>
      <c r="D456" s="1" t="s">
        <v>27</v>
      </c>
      <c r="E456" s="1" t="s">
        <v>14</v>
      </c>
      <c r="F456" s="1" t="s">
        <v>15</v>
      </c>
      <c r="G456" s="1">
        <v>2</v>
      </c>
      <c r="H456" s="1">
        <v>1500</v>
      </c>
      <c r="I456" s="1">
        <v>5</v>
      </c>
      <c r="J456" s="1">
        <v>2850</v>
      </c>
      <c r="K456" s="1">
        <v>658.83</v>
      </c>
      <c r="L456" s="1" t="str">
        <f>IF(K456&gt;=15000,"High Profit","Low Profit")</f>
        <v>Low Profit</v>
      </c>
      <c r="M456" s="1">
        <f>YEAR(B456)</f>
        <v>2025</v>
      </c>
      <c r="N456" s="1" t="str">
        <f>TEXT(B456,"mmmm")</f>
        <v>March</v>
      </c>
      <c r="O456" s="1" t="str">
        <f>IF(J456&gt;=100000,"Excellent", IF(J456&gt;=50000,"Good","Average"))</f>
        <v>Average</v>
      </c>
      <c r="P456" s="1">
        <f>(H456*G456)*(I456/100)</f>
        <v>150</v>
      </c>
      <c r="Q456" s="1">
        <f ca="1">J456-Q456</f>
        <v>0</v>
      </c>
    </row>
    <row r="457" spans="1:17" x14ac:dyDescent="0.25">
      <c r="A457" s="1">
        <v>1462</v>
      </c>
      <c r="B457" s="1" t="s">
        <v>126</v>
      </c>
      <c r="C457" s="1" t="s">
        <v>21</v>
      </c>
      <c r="D457" s="1" t="s">
        <v>17</v>
      </c>
      <c r="E457" s="1" t="s">
        <v>14</v>
      </c>
      <c r="F457" s="1" t="s">
        <v>15</v>
      </c>
      <c r="G457" s="1">
        <v>2</v>
      </c>
      <c r="H457" s="1">
        <v>1500</v>
      </c>
      <c r="I457" s="1">
        <v>5</v>
      </c>
      <c r="J457" s="1">
        <v>2850</v>
      </c>
      <c r="K457" s="1">
        <v>332.81</v>
      </c>
      <c r="L457" s="1" t="str">
        <f>IF(K457&gt;=15000,"High Profit","Low Profit")</f>
        <v>Low Profit</v>
      </c>
      <c r="M457" s="1">
        <f>YEAR(B457)</f>
        <v>2025</v>
      </c>
      <c r="N457" s="1" t="str">
        <f>TEXT(B457,"mmmm")</f>
        <v>March</v>
      </c>
      <c r="O457" s="1" t="str">
        <f>IF(J457&gt;=100000,"Excellent", IF(J457&gt;=50000,"Good","Average"))</f>
        <v>Average</v>
      </c>
      <c r="P457" s="1">
        <f>(H457*G457)*(I457/100)</f>
        <v>150</v>
      </c>
      <c r="Q457" s="1">
        <f ca="1">J457-Q457</f>
        <v>0</v>
      </c>
    </row>
    <row r="458" spans="1:17" x14ac:dyDescent="0.25">
      <c r="A458" s="1">
        <v>1023</v>
      </c>
      <c r="B458" s="1" t="s">
        <v>54</v>
      </c>
      <c r="C458" s="1" t="s">
        <v>45</v>
      </c>
      <c r="D458" s="1" t="s">
        <v>13</v>
      </c>
      <c r="E458" s="1" t="s">
        <v>28</v>
      </c>
      <c r="F458" s="1" t="s">
        <v>15</v>
      </c>
      <c r="G458" s="1">
        <v>4</v>
      </c>
      <c r="H458" s="1">
        <v>800</v>
      </c>
      <c r="I458" s="1">
        <v>15</v>
      </c>
      <c r="J458" s="1">
        <v>2720</v>
      </c>
      <c r="K458" s="1">
        <v>399.5</v>
      </c>
      <c r="L458" s="1" t="str">
        <f>IF(K458&gt;=15000,"High Profit","Low Profit")</f>
        <v>Low Profit</v>
      </c>
      <c r="M458" s="1">
        <f>YEAR(B458)</f>
        <v>2025</v>
      </c>
      <c r="N458" s="1" t="str">
        <f>TEXT(B458,"mmmm")</f>
        <v>April</v>
      </c>
      <c r="O458" s="1" t="str">
        <f>IF(J458&gt;=100000,"Excellent", IF(J458&gt;=50000,"Good","Average"))</f>
        <v>Average</v>
      </c>
      <c r="P458" s="1">
        <f>(H458*G458)*(I458/100)</f>
        <v>480</v>
      </c>
      <c r="Q458" s="1">
        <f ca="1">J458-Q458</f>
        <v>0</v>
      </c>
    </row>
    <row r="459" spans="1:17" x14ac:dyDescent="0.25">
      <c r="A459" s="1">
        <v>1113</v>
      </c>
      <c r="B459" s="1" t="s">
        <v>136</v>
      </c>
      <c r="C459" s="1" t="s">
        <v>26</v>
      </c>
      <c r="D459" s="1" t="s">
        <v>27</v>
      </c>
      <c r="E459" s="1" t="s">
        <v>14</v>
      </c>
      <c r="F459" s="1" t="s">
        <v>15</v>
      </c>
      <c r="G459" s="1">
        <v>2</v>
      </c>
      <c r="H459" s="1">
        <v>1500</v>
      </c>
      <c r="I459" s="1">
        <v>10</v>
      </c>
      <c r="J459" s="1">
        <v>2700</v>
      </c>
      <c r="K459" s="1">
        <v>607.59</v>
      </c>
      <c r="L459" s="1" t="str">
        <f>IF(K459&gt;=15000,"High Profit","Low Profit")</f>
        <v>Low Profit</v>
      </c>
      <c r="M459" s="1">
        <f>YEAR(B459)</f>
        <v>2026</v>
      </c>
      <c r="N459" s="1" t="str">
        <f>TEXT(B459,"mmmm")</f>
        <v>March</v>
      </c>
      <c r="O459" s="1" t="str">
        <f>IF(J459&gt;=100000,"Excellent", IF(J459&gt;=50000,"Good","Average"))</f>
        <v>Average</v>
      </c>
      <c r="P459" s="1">
        <f>(H459*G459)*(I459/100)</f>
        <v>300</v>
      </c>
      <c r="Q459" s="1">
        <f ca="1">J459-Q459</f>
        <v>0</v>
      </c>
    </row>
    <row r="460" spans="1:17" x14ac:dyDescent="0.25">
      <c r="A460" s="1">
        <v>1396</v>
      </c>
      <c r="B460" s="1" t="s">
        <v>134</v>
      </c>
      <c r="C460" s="1" t="s">
        <v>47</v>
      </c>
      <c r="D460" s="1" t="s">
        <v>22</v>
      </c>
      <c r="E460" s="1" t="s">
        <v>14</v>
      </c>
      <c r="F460" s="1" t="s">
        <v>15</v>
      </c>
      <c r="G460" s="1">
        <v>2</v>
      </c>
      <c r="H460" s="1">
        <v>1500</v>
      </c>
      <c r="I460" s="1">
        <v>10</v>
      </c>
      <c r="J460" s="1">
        <v>2700</v>
      </c>
      <c r="K460" s="1">
        <v>309.11</v>
      </c>
      <c r="L460" s="1" t="str">
        <f>IF(K460&gt;=15000,"High Profit","Low Profit")</f>
        <v>Low Profit</v>
      </c>
      <c r="M460" s="1">
        <f>YEAR(B460)</f>
        <v>2025</v>
      </c>
      <c r="N460" s="1" t="str">
        <f>TEXT(B460,"mmmm")</f>
        <v>March</v>
      </c>
      <c r="O460" s="1" t="str">
        <f>IF(J460&gt;=100000,"Excellent", IF(J460&gt;=50000,"Good","Average"))</f>
        <v>Average</v>
      </c>
      <c r="P460" s="1">
        <f>(H460*G460)*(I460/100)</f>
        <v>300</v>
      </c>
      <c r="Q460" s="1">
        <f ca="1">J460-Q460</f>
        <v>0</v>
      </c>
    </row>
    <row r="461" spans="1:17" x14ac:dyDescent="0.25">
      <c r="A461" s="1">
        <v>1362</v>
      </c>
      <c r="B461" s="1" t="s">
        <v>137</v>
      </c>
      <c r="C461" s="1" t="s">
        <v>39</v>
      </c>
      <c r="D461" s="1" t="s">
        <v>17</v>
      </c>
      <c r="E461" s="1" t="s">
        <v>28</v>
      </c>
      <c r="F461" s="1" t="s">
        <v>15</v>
      </c>
      <c r="G461" s="1">
        <v>4</v>
      </c>
      <c r="H461" s="1">
        <v>800</v>
      </c>
      <c r="I461" s="1">
        <v>20</v>
      </c>
      <c r="J461" s="1">
        <v>2560</v>
      </c>
      <c r="K461" s="1">
        <v>575.73</v>
      </c>
      <c r="L461" s="1" t="str">
        <f>IF(K461&gt;=15000,"High Profit","Low Profit")</f>
        <v>Low Profit</v>
      </c>
      <c r="M461" s="1">
        <f>YEAR(B461)</f>
        <v>2026</v>
      </c>
      <c r="N461" s="1" t="str">
        <f>TEXT(B461,"mmmm")</f>
        <v>April</v>
      </c>
      <c r="O461" s="1" t="str">
        <f>IF(J461&gt;=100000,"Excellent", IF(J461&gt;=50000,"Good","Average"))</f>
        <v>Average</v>
      </c>
      <c r="P461" s="1">
        <f>(H461*G461)*(I461/100)</f>
        <v>640</v>
      </c>
      <c r="Q461" s="1">
        <f ca="1">J461-Q461</f>
        <v>0</v>
      </c>
    </row>
    <row r="462" spans="1:17" x14ac:dyDescent="0.25">
      <c r="A462" s="1">
        <v>1125</v>
      </c>
      <c r="B462" s="1" t="s">
        <v>105</v>
      </c>
      <c r="C462" s="1" t="s">
        <v>12</v>
      </c>
      <c r="D462" s="1" t="s">
        <v>22</v>
      </c>
      <c r="E462" s="1" t="s">
        <v>14</v>
      </c>
      <c r="F462" s="1" t="s">
        <v>15</v>
      </c>
      <c r="G462" s="1">
        <v>2</v>
      </c>
      <c r="H462" s="1">
        <v>1500</v>
      </c>
      <c r="I462" s="1">
        <v>15</v>
      </c>
      <c r="J462" s="1">
        <v>2550</v>
      </c>
      <c r="K462" s="1">
        <v>311.67</v>
      </c>
      <c r="L462" s="1" t="str">
        <f>IF(K462&gt;=15000,"High Profit","Low Profit")</f>
        <v>Low Profit</v>
      </c>
      <c r="M462" s="1">
        <f>YEAR(B462)</f>
        <v>2025</v>
      </c>
      <c r="N462" s="1" t="str">
        <f>TEXT(B462,"mmmm")</f>
        <v>January</v>
      </c>
      <c r="O462" s="1" t="str">
        <f>IF(J462&gt;=100000,"Excellent", IF(J462&gt;=50000,"Good","Average"))</f>
        <v>Average</v>
      </c>
      <c r="P462" s="1">
        <f>(H462*G462)*(I462/100)</f>
        <v>450</v>
      </c>
      <c r="Q462" s="1">
        <f ca="1">J462-Q462</f>
        <v>0</v>
      </c>
    </row>
    <row r="463" spans="1:17" x14ac:dyDescent="0.25">
      <c r="A463" s="1">
        <v>1184</v>
      </c>
      <c r="B463" s="1" t="s">
        <v>126</v>
      </c>
      <c r="C463" s="1" t="s">
        <v>39</v>
      </c>
      <c r="D463" s="1" t="s">
        <v>22</v>
      </c>
      <c r="E463" s="1" t="s">
        <v>14</v>
      </c>
      <c r="F463" s="1" t="s">
        <v>15</v>
      </c>
      <c r="G463" s="1">
        <v>2</v>
      </c>
      <c r="H463" s="1">
        <v>1500</v>
      </c>
      <c r="I463" s="1">
        <v>15</v>
      </c>
      <c r="J463" s="1">
        <v>2550</v>
      </c>
      <c r="K463" s="1">
        <v>546.95000000000005</v>
      </c>
      <c r="L463" s="1" t="str">
        <f>IF(K463&gt;=15000,"High Profit","Low Profit")</f>
        <v>Low Profit</v>
      </c>
      <c r="M463" s="1">
        <f>YEAR(B463)</f>
        <v>2025</v>
      </c>
      <c r="N463" s="1" t="str">
        <f>TEXT(B463,"mmmm")</f>
        <v>March</v>
      </c>
      <c r="O463" s="1" t="str">
        <f>IF(J463&gt;=100000,"Excellent", IF(J463&gt;=50000,"Good","Average"))</f>
        <v>Average</v>
      </c>
      <c r="P463" s="1">
        <f>(H463*G463)*(I463/100)</f>
        <v>450</v>
      </c>
      <c r="Q463" s="1">
        <f ca="1">J463-Q463</f>
        <v>0</v>
      </c>
    </row>
    <row r="464" spans="1:17" x14ac:dyDescent="0.25">
      <c r="A464" s="1">
        <v>1219</v>
      </c>
      <c r="B464" s="1" t="s">
        <v>212</v>
      </c>
      <c r="C464" s="1" t="s">
        <v>36</v>
      </c>
      <c r="D464" s="1" t="s">
        <v>22</v>
      </c>
      <c r="E464" s="1" t="s">
        <v>14</v>
      </c>
      <c r="F464" s="1" t="s">
        <v>15</v>
      </c>
      <c r="G464" s="1">
        <v>2</v>
      </c>
      <c r="H464" s="1">
        <v>1500</v>
      </c>
      <c r="I464" s="1">
        <v>15</v>
      </c>
      <c r="J464" s="1">
        <v>2550</v>
      </c>
      <c r="K464" s="1">
        <v>331.24</v>
      </c>
      <c r="L464" s="1" t="str">
        <f>IF(K464&gt;=15000,"High Profit","Low Profit")</f>
        <v>Low Profit</v>
      </c>
      <c r="M464" s="1">
        <f>YEAR(B464)</f>
        <v>2025</v>
      </c>
      <c r="N464" s="1" t="str">
        <f>TEXT(B464,"mmmm")</f>
        <v>March</v>
      </c>
      <c r="O464" s="1" t="str">
        <f>IF(J464&gt;=100000,"Excellent", IF(J464&gt;=50000,"Good","Average"))</f>
        <v>Average</v>
      </c>
      <c r="P464" s="1">
        <f>(H464*G464)*(I464/100)</f>
        <v>450</v>
      </c>
      <c r="Q464" s="1">
        <f ca="1">J464-Q464</f>
        <v>0</v>
      </c>
    </row>
    <row r="465" spans="1:17" x14ac:dyDescent="0.25">
      <c r="A465" s="1">
        <v>1230</v>
      </c>
      <c r="B465" s="1" t="s">
        <v>56</v>
      </c>
      <c r="C465" s="1" t="s">
        <v>32</v>
      </c>
      <c r="D465" s="1" t="s">
        <v>27</v>
      </c>
      <c r="E465" s="1" t="s">
        <v>14</v>
      </c>
      <c r="F465" s="1" t="s">
        <v>15</v>
      </c>
      <c r="G465" s="1">
        <v>2</v>
      </c>
      <c r="H465" s="1">
        <v>1500</v>
      </c>
      <c r="I465" s="1">
        <v>15</v>
      </c>
      <c r="J465" s="1">
        <v>2550</v>
      </c>
      <c r="K465" s="1">
        <v>284.77</v>
      </c>
      <c r="L465" s="1" t="str">
        <f>IF(K465&gt;=15000,"High Profit","Low Profit")</f>
        <v>Low Profit</v>
      </c>
      <c r="M465" s="1">
        <f>YEAR(B465)</f>
        <v>2025</v>
      </c>
      <c r="N465" s="1" t="str">
        <f>TEXT(B465,"mmmm")</f>
        <v>April</v>
      </c>
      <c r="O465" s="1" t="str">
        <f>IF(J465&gt;=100000,"Excellent", IF(J465&gt;=50000,"Good","Average"))</f>
        <v>Average</v>
      </c>
      <c r="P465" s="1">
        <f>(H465*G465)*(I465/100)</f>
        <v>450</v>
      </c>
      <c r="Q465" s="1">
        <f ca="1">J465-Q465</f>
        <v>0</v>
      </c>
    </row>
    <row r="466" spans="1:17" x14ac:dyDescent="0.25">
      <c r="A466" s="1">
        <v>1468</v>
      </c>
      <c r="B466" s="1" t="s">
        <v>335</v>
      </c>
      <c r="C466" s="1" t="s">
        <v>26</v>
      </c>
      <c r="D466" s="1" t="s">
        <v>17</v>
      </c>
      <c r="E466" s="1" t="s">
        <v>14</v>
      </c>
      <c r="F466" s="1" t="s">
        <v>15</v>
      </c>
      <c r="G466" s="1">
        <v>2</v>
      </c>
      <c r="H466" s="1">
        <v>1500</v>
      </c>
      <c r="I466" s="1">
        <v>15</v>
      </c>
      <c r="J466" s="1">
        <v>2550</v>
      </c>
      <c r="K466" s="1">
        <v>270.81</v>
      </c>
      <c r="L466" s="1" t="str">
        <f>IF(K466&gt;=15000,"High Profit","Low Profit")</f>
        <v>Low Profit</v>
      </c>
      <c r="M466" s="1">
        <f>YEAR(B466)</f>
        <v>2025</v>
      </c>
      <c r="N466" s="1" t="str">
        <f>TEXT(B466,"mmmm")</f>
        <v>December</v>
      </c>
      <c r="O466" s="1" t="str">
        <f>IF(J466&gt;=100000,"Excellent", IF(J466&gt;=50000,"Good","Average"))</f>
        <v>Average</v>
      </c>
      <c r="P466" s="1">
        <f>(H466*G466)*(I466/100)</f>
        <v>450</v>
      </c>
      <c r="Q466" s="1">
        <f ca="1">J466-Q466</f>
        <v>0</v>
      </c>
    </row>
    <row r="467" spans="1:17" x14ac:dyDescent="0.25">
      <c r="A467" s="1">
        <v>1027</v>
      </c>
      <c r="B467" s="1" t="s">
        <v>25</v>
      </c>
      <c r="C467" s="1" t="s">
        <v>12</v>
      </c>
      <c r="D467" s="1" t="s">
        <v>27</v>
      </c>
      <c r="E467" s="1" t="s">
        <v>28</v>
      </c>
      <c r="F467" s="1" t="s">
        <v>15</v>
      </c>
      <c r="G467" s="1">
        <v>3</v>
      </c>
      <c r="H467" s="1">
        <v>800</v>
      </c>
      <c r="I467" s="1">
        <v>0</v>
      </c>
      <c r="J467" s="1">
        <v>2400</v>
      </c>
      <c r="K467" s="1">
        <v>385.47</v>
      </c>
      <c r="L467" s="1" t="str">
        <f>IF(K467&gt;=15000,"High Profit","Low Profit")</f>
        <v>Low Profit</v>
      </c>
      <c r="M467" s="1">
        <f>YEAR(B467)</f>
        <v>2026</v>
      </c>
      <c r="N467" s="1" t="str">
        <f>TEXT(B467,"mmmm")</f>
        <v>June</v>
      </c>
      <c r="O467" s="1" t="str">
        <f>IF(J467&gt;=100000,"Excellent", IF(J467&gt;=50000,"Good","Average"))</f>
        <v>Average</v>
      </c>
      <c r="P467" s="1">
        <f>(H467*G467)*(I467/100)</f>
        <v>0</v>
      </c>
      <c r="Q467" s="1">
        <f ca="1">J467-Q467</f>
        <v>0</v>
      </c>
    </row>
    <row r="468" spans="1:17" x14ac:dyDescent="0.25">
      <c r="A468" s="1">
        <v>1069</v>
      </c>
      <c r="B468" s="1" t="s">
        <v>94</v>
      </c>
      <c r="C468" s="1" t="s">
        <v>41</v>
      </c>
      <c r="D468" s="1" t="s">
        <v>27</v>
      </c>
      <c r="E468" s="1" t="s">
        <v>28</v>
      </c>
      <c r="F468" s="1" t="s">
        <v>15</v>
      </c>
      <c r="G468" s="1">
        <v>3</v>
      </c>
      <c r="H468" s="1">
        <v>800</v>
      </c>
      <c r="I468" s="1">
        <v>0</v>
      </c>
      <c r="J468" s="1">
        <v>2400</v>
      </c>
      <c r="K468" s="1">
        <v>221.44</v>
      </c>
      <c r="L468" s="1" t="str">
        <f>IF(K468&gt;=15000,"High Profit","Low Profit")</f>
        <v>Low Profit</v>
      </c>
      <c r="M468" s="1">
        <f>YEAR(B468)</f>
        <v>2026</v>
      </c>
      <c r="N468" s="1" t="str">
        <f>TEXT(B468,"mmmm")</f>
        <v>March</v>
      </c>
      <c r="O468" s="1" t="str">
        <f>IF(J468&gt;=100000,"Excellent", IF(J468&gt;=50000,"Good","Average"))</f>
        <v>Average</v>
      </c>
      <c r="P468" s="1">
        <f>(H468*G468)*(I468/100)</f>
        <v>0</v>
      </c>
      <c r="Q468" s="1">
        <f ca="1">J468-Q468</f>
        <v>0</v>
      </c>
    </row>
    <row r="469" spans="1:17" x14ac:dyDescent="0.25">
      <c r="A469" s="1">
        <v>1091</v>
      </c>
      <c r="B469" s="1" t="s">
        <v>115</v>
      </c>
      <c r="C469" s="1" t="s">
        <v>47</v>
      </c>
      <c r="D469" s="1" t="s">
        <v>27</v>
      </c>
      <c r="E469" s="1" t="s">
        <v>14</v>
      </c>
      <c r="F469" s="1" t="s">
        <v>15</v>
      </c>
      <c r="G469" s="1">
        <v>2</v>
      </c>
      <c r="H469" s="1">
        <v>1500</v>
      </c>
      <c r="I469" s="1">
        <v>20</v>
      </c>
      <c r="J469" s="1">
        <v>2400</v>
      </c>
      <c r="K469" s="1">
        <v>555.57000000000005</v>
      </c>
      <c r="L469" s="1" t="str">
        <f>IF(K469&gt;=15000,"High Profit","Low Profit")</f>
        <v>Low Profit</v>
      </c>
      <c r="M469" s="1">
        <f>YEAR(B469)</f>
        <v>2025</v>
      </c>
      <c r="N469" s="1" t="str">
        <f>TEXT(B469,"mmmm")</f>
        <v>February</v>
      </c>
      <c r="O469" s="1" t="str">
        <f>IF(J469&gt;=100000,"Excellent", IF(J469&gt;=50000,"Good","Average"))</f>
        <v>Average</v>
      </c>
      <c r="P469" s="1">
        <f>(H469*G469)*(I469/100)</f>
        <v>600</v>
      </c>
      <c r="Q469" s="1">
        <f ca="1">J469-Q469</f>
        <v>0</v>
      </c>
    </row>
    <row r="470" spans="1:17" x14ac:dyDescent="0.25">
      <c r="A470" s="1">
        <v>1483</v>
      </c>
      <c r="B470" s="1" t="s">
        <v>341</v>
      </c>
      <c r="C470" s="1" t="s">
        <v>41</v>
      </c>
      <c r="D470" s="1" t="s">
        <v>13</v>
      </c>
      <c r="E470" s="1" t="s">
        <v>28</v>
      </c>
      <c r="F470" s="1" t="s">
        <v>15</v>
      </c>
      <c r="G470" s="1">
        <v>3</v>
      </c>
      <c r="H470" s="1">
        <v>800</v>
      </c>
      <c r="I470" s="1">
        <v>0</v>
      </c>
      <c r="J470" s="1">
        <v>2400</v>
      </c>
      <c r="K470" s="1">
        <v>463.18</v>
      </c>
      <c r="L470" s="1" t="str">
        <f>IF(K470&gt;=15000,"High Profit","Low Profit")</f>
        <v>Low Profit</v>
      </c>
      <c r="M470" s="1">
        <f>YEAR(B470)</f>
        <v>2026</v>
      </c>
      <c r="N470" s="1" t="str">
        <f>TEXT(B470,"mmmm")</f>
        <v>May</v>
      </c>
      <c r="O470" s="1" t="str">
        <f>IF(J470&gt;=100000,"Excellent", IF(J470&gt;=50000,"Good","Average"))</f>
        <v>Average</v>
      </c>
      <c r="P470" s="1">
        <f>(H470*G470)*(I470/100)</f>
        <v>0</v>
      </c>
      <c r="Q470" s="1">
        <f ca="1">J470-Q470</f>
        <v>0</v>
      </c>
    </row>
    <row r="471" spans="1:17" x14ac:dyDescent="0.25">
      <c r="A471" s="1">
        <v>1058</v>
      </c>
      <c r="B471" s="1" t="s">
        <v>84</v>
      </c>
      <c r="C471" s="1" t="s">
        <v>47</v>
      </c>
      <c r="D471" s="1" t="s">
        <v>27</v>
      </c>
      <c r="E471" s="1" t="s">
        <v>28</v>
      </c>
      <c r="F471" s="1" t="s">
        <v>15</v>
      </c>
      <c r="G471" s="1">
        <v>3</v>
      </c>
      <c r="H471" s="1">
        <v>800</v>
      </c>
      <c r="I471" s="1">
        <v>10</v>
      </c>
      <c r="J471" s="1">
        <v>2160</v>
      </c>
      <c r="K471" s="1">
        <v>377.47</v>
      </c>
      <c r="L471" s="1" t="str">
        <f>IF(K471&gt;=15000,"High Profit","Low Profit")</f>
        <v>Low Profit</v>
      </c>
      <c r="M471" s="1">
        <f>YEAR(B471)</f>
        <v>2025</v>
      </c>
      <c r="N471" s="1" t="str">
        <f>TEXT(B471,"mmmm")</f>
        <v>January</v>
      </c>
      <c r="O471" s="1" t="str">
        <f>IF(J471&gt;=100000,"Excellent", IF(J471&gt;=50000,"Good","Average"))</f>
        <v>Average</v>
      </c>
      <c r="P471" s="1">
        <f>(H471*G471)*(I471/100)</f>
        <v>240</v>
      </c>
      <c r="Q471" s="1">
        <f ca="1">J471-Q471</f>
        <v>0</v>
      </c>
    </row>
    <row r="472" spans="1:17" x14ac:dyDescent="0.25">
      <c r="A472" s="1">
        <v>1292</v>
      </c>
      <c r="B472" s="1" t="s">
        <v>258</v>
      </c>
      <c r="C472" s="1" t="s">
        <v>39</v>
      </c>
      <c r="D472" s="1" t="s">
        <v>17</v>
      </c>
      <c r="E472" s="1" t="s">
        <v>28</v>
      </c>
      <c r="F472" s="1" t="s">
        <v>15</v>
      </c>
      <c r="G472" s="1">
        <v>3</v>
      </c>
      <c r="H472" s="1">
        <v>800</v>
      </c>
      <c r="I472" s="1">
        <v>10</v>
      </c>
      <c r="J472" s="1">
        <v>2160</v>
      </c>
      <c r="K472" s="1">
        <v>181.75</v>
      </c>
      <c r="L472" s="1" t="str">
        <f>IF(K472&gt;=15000,"High Profit","Low Profit")</f>
        <v>Low Profit</v>
      </c>
      <c r="M472" s="1">
        <f>YEAR(B472)</f>
        <v>2026</v>
      </c>
      <c r="N472" s="1" t="str">
        <f>TEXT(B472,"mmmm")</f>
        <v>June</v>
      </c>
      <c r="O472" s="1" t="str">
        <f>IF(J472&gt;=100000,"Excellent", IF(J472&gt;=50000,"Good","Average"))</f>
        <v>Average</v>
      </c>
      <c r="P472" s="1">
        <f>(H472*G472)*(I472/100)</f>
        <v>240</v>
      </c>
      <c r="Q472" s="1">
        <f ca="1">J472-Q472</f>
        <v>0</v>
      </c>
    </row>
    <row r="473" spans="1:17" x14ac:dyDescent="0.25">
      <c r="A473" s="1">
        <v>1370</v>
      </c>
      <c r="B473" s="1" t="s">
        <v>158</v>
      </c>
      <c r="C473" s="1" t="s">
        <v>30</v>
      </c>
      <c r="D473" s="1" t="s">
        <v>22</v>
      </c>
      <c r="E473" s="1" t="s">
        <v>28</v>
      </c>
      <c r="F473" s="1" t="s">
        <v>15</v>
      </c>
      <c r="G473" s="1">
        <v>3</v>
      </c>
      <c r="H473" s="1">
        <v>800</v>
      </c>
      <c r="I473" s="1">
        <v>10</v>
      </c>
      <c r="J473" s="1">
        <v>2160</v>
      </c>
      <c r="K473" s="1">
        <v>519.62</v>
      </c>
      <c r="L473" s="1" t="str">
        <f>IF(K473&gt;=15000,"High Profit","Low Profit")</f>
        <v>Low Profit</v>
      </c>
      <c r="M473" s="1">
        <f>YEAR(B473)</f>
        <v>2026</v>
      </c>
      <c r="N473" s="1" t="str">
        <f>TEXT(B473,"mmmm")</f>
        <v>February</v>
      </c>
      <c r="O473" s="1" t="str">
        <f>IF(J473&gt;=100000,"Excellent", IF(J473&gt;=50000,"Good","Average"))</f>
        <v>Average</v>
      </c>
      <c r="P473" s="1">
        <f>(H473*G473)*(I473/100)</f>
        <v>240</v>
      </c>
      <c r="Q473" s="1">
        <f ca="1">J473-Q473</f>
        <v>0</v>
      </c>
    </row>
    <row r="474" spans="1:17" x14ac:dyDescent="0.25">
      <c r="A474" s="1">
        <v>1383</v>
      </c>
      <c r="B474" s="1" t="s">
        <v>286</v>
      </c>
      <c r="C474" s="1" t="s">
        <v>30</v>
      </c>
      <c r="D474" s="1" t="s">
        <v>13</v>
      </c>
      <c r="E474" s="1" t="s">
        <v>28</v>
      </c>
      <c r="F474" s="1" t="s">
        <v>15</v>
      </c>
      <c r="G474" s="1">
        <v>3</v>
      </c>
      <c r="H474" s="1">
        <v>800</v>
      </c>
      <c r="I474" s="1">
        <v>15</v>
      </c>
      <c r="J474" s="1">
        <v>2040</v>
      </c>
      <c r="K474" s="1">
        <v>172.62</v>
      </c>
      <c r="L474" s="1" t="str">
        <f>IF(K474&gt;=15000,"High Profit","Low Profit")</f>
        <v>Low Profit</v>
      </c>
      <c r="M474" s="1">
        <f>YEAR(B474)</f>
        <v>2025</v>
      </c>
      <c r="N474" s="1" t="str">
        <f>TEXT(B474,"mmmm")</f>
        <v>April</v>
      </c>
      <c r="O474" s="1" t="str">
        <f>IF(J474&gt;=100000,"Excellent", IF(J474&gt;=50000,"Good","Average"))</f>
        <v>Average</v>
      </c>
      <c r="P474" s="1">
        <f>(H474*G474)*(I474/100)</f>
        <v>360</v>
      </c>
      <c r="Q474" s="1">
        <f ca="1">J474-Q474</f>
        <v>0</v>
      </c>
    </row>
    <row r="475" spans="1:17" x14ac:dyDescent="0.25">
      <c r="A475" s="1">
        <v>1404</v>
      </c>
      <c r="B475" s="1" t="s">
        <v>311</v>
      </c>
      <c r="C475" s="1" t="s">
        <v>41</v>
      </c>
      <c r="D475" s="1" t="s">
        <v>17</v>
      </c>
      <c r="E475" s="1" t="s">
        <v>28</v>
      </c>
      <c r="F475" s="1" t="s">
        <v>15</v>
      </c>
      <c r="G475" s="1">
        <v>3</v>
      </c>
      <c r="H475" s="1">
        <v>800</v>
      </c>
      <c r="I475" s="1">
        <v>20</v>
      </c>
      <c r="J475" s="1">
        <v>1920</v>
      </c>
      <c r="K475" s="1">
        <v>179.79</v>
      </c>
      <c r="L475" s="1" t="str">
        <f>IF(K475&gt;=15000,"High Profit","Low Profit")</f>
        <v>Low Profit</v>
      </c>
      <c r="M475" s="1">
        <f>YEAR(B475)</f>
        <v>2025</v>
      </c>
      <c r="N475" s="1" t="str">
        <f>TEXT(B475,"mmmm")</f>
        <v>October</v>
      </c>
      <c r="O475" s="1" t="str">
        <f>IF(J475&gt;=100000,"Excellent", IF(J475&gt;=50000,"Good","Average"))</f>
        <v>Average</v>
      </c>
      <c r="P475" s="1">
        <f>(H475*G475)*(I475/100)</f>
        <v>480</v>
      </c>
      <c r="Q475" s="1">
        <f ca="1">J475-Q475</f>
        <v>0</v>
      </c>
    </row>
    <row r="476" spans="1:17" x14ac:dyDescent="0.25">
      <c r="A476" s="1">
        <v>1441</v>
      </c>
      <c r="B476" s="1" t="s">
        <v>325</v>
      </c>
      <c r="C476" s="1" t="s">
        <v>45</v>
      </c>
      <c r="D476" s="1" t="s">
        <v>13</v>
      </c>
      <c r="E476" s="1" t="s">
        <v>28</v>
      </c>
      <c r="F476" s="1" t="s">
        <v>15</v>
      </c>
      <c r="G476" s="1">
        <v>3</v>
      </c>
      <c r="H476" s="1">
        <v>800</v>
      </c>
      <c r="I476" s="1">
        <v>20</v>
      </c>
      <c r="J476" s="1">
        <v>1920</v>
      </c>
      <c r="K476" s="1">
        <v>279.3</v>
      </c>
      <c r="L476" s="1" t="str">
        <f>IF(K476&gt;=15000,"High Profit","Low Profit")</f>
        <v>Low Profit</v>
      </c>
      <c r="M476" s="1">
        <f>YEAR(B476)</f>
        <v>2025</v>
      </c>
      <c r="N476" s="1" t="str">
        <f>TEXT(B476,"mmmm")</f>
        <v>May</v>
      </c>
      <c r="O476" s="1" t="str">
        <f>IF(J476&gt;=100000,"Excellent", IF(J476&gt;=50000,"Good","Average"))</f>
        <v>Average</v>
      </c>
      <c r="P476" s="1">
        <f>(H476*G476)*(I476/100)</f>
        <v>480</v>
      </c>
      <c r="Q476" s="1">
        <f ca="1">J476-Q476</f>
        <v>0</v>
      </c>
    </row>
    <row r="477" spans="1:17" x14ac:dyDescent="0.25">
      <c r="A477" s="1">
        <v>1248</v>
      </c>
      <c r="B477" s="1" t="s">
        <v>232</v>
      </c>
      <c r="C477" s="1" t="s">
        <v>41</v>
      </c>
      <c r="D477" s="1" t="s">
        <v>27</v>
      </c>
      <c r="E477" s="1" t="s">
        <v>28</v>
      </c>
      <c r="F477" s="1" t="s">
        <v>15</v>
      </c>
      <c r="G477" s="1">
        <v>2</v>
      </c>
      <c r="H477" s="1">
        <v>800</v>
      </c>
      <c r="I477" s="1">
        <v>0</v>
      </c>
      <c r="J477" s="1">
        <v>1600</v>
      </c>
      <c r="K477" s="1">
        <v>306.25</v>
      </c>
      <c r="L477" s="1" t="str">
        <f>IF(K477&gt;=15000,"High Profit","Low Profit")</f>
        <v>Low Profit</v>
      </c>
      <c r="M477" s="1">
        <f>YEAR(B477)</f>
        <v>2026</v>
      </c>
      <c r="N477" s="1" t="str">
        <f>TEXT(B477,"mmmm")</f>
        <v>May</v>
      </c>
      <c r="O477" s="1" t="str">
        <f>IF(J477&gt;=100000,"Excellent", IF(J477&gt;=50000,"Good","Average"))</f>
        <v>Average</v>
      </c>
      <c r="P477" s="1">
        <f>(H477*G477)*(I477/100)</f>
        <v>0</v>
      </c>
      <c r="Q477" s="1">
        <f ca="1">J477-Q477</f>
        <v>0</v>
      </c>
    </row>
    <row r="478" spans="1:17" x14ac:dyDescent="0.25">
      <c r="A478" s="1">
        <v>1427</v>
      </c>
      <c r="B478" s="1" t="s">
        <v>221</v>
      </c>
      <c r="C478" s="1" t="s">
        <v>12</v>
      </c>
      <c r="D478" s="1" t="s">
        <v>13</v>
      </c>
      <c r="E478" s="1" t="s">
        <v>28</v>
      </c>
      <c r="F478" s="1" t="s">
        <v>15</v>
      </c>
      <c r="G478" s="1">
        <v>2</v>
      </c>
      <c r="H478" s="1">
        <v>800</v>
      </c>
      <c r="I478" s="1">
        <v>0</v>
      </c>
      <c r="J478" s="1">
        <v>1600</v>
      </c>
      <c r="K478" s="1">
        <v>310.93</v>
      </c>
      <c r="L478" s="1" t="str">
        <f>IF(K478&gt;=15000,"High Profit","Low Profit")</f>
        <v>Low Profit</v>
      </c>
      <c r="M478" s="1">
        <f>YEAR(B478)</f>
        <v>2025</v>
      </c>
      <c r="N478" s="1" t="str">
        <f>TEXT(B478,"mmmm")</f>
        <v>July</v>
      </c>
      <c r="O478" s="1" t="str">
        <f>IF(J478&gt;=100000,"Excellent", IF(J478&gt;=50000,"Good","Average"))</f>
        <v>Average</v>
      </c>
      <c r="P478" s="1">
        <f>(H478*G478)*(I478/100)</f>
        <v>0</v>
      </c>
      <c r="Q478" s="1">
        <f ca="1">J478-Q478</f>
        <v>0</v>
      </c>
    </row>
    <row r="479" spans="1:17" x14ac:dyDescent="0.25">
      <c r="A479" s="1">
        <v>1061</v>
      </c>
      <c r="B479" s="1" t="s">
        <v>42</v>
      </c>
      <c r="C479" s="1" t="s">
        <v>30</v>
      </c>
      <c r="D479" s="1" t="s">
        <v>22</v>
      </c>
      <c r="E479" s="1" t="s">
        <v>28</v>
      </c>
      <c r="F479" s="1" t="s">
        <v>15</v>
      </c>
      <c r="G479" s="1">
        <v>2</v>
      </c>
      <c r="H479" s="1">
        <v>800</v>
      </c>
      <c r="I479" s="1">
        <v>5</v>
      </c>
      <c r="J479" s="1">
        <v>1520</v>
      </c>
      <c r="K479" s="1">
        <v>340.75</v>
      </c>
      <c r="L479" s="1" t="str">
        <f>IF(K479&gt;=15000,"High Profit","Low Profit")</f>
        <v>Low Profit</v>
      </c>
      <c r="M479" s="1">
        <f>YEAR(B479)</f>
        <v>2026</v>
      </c>
      <c r="N479" s="1" t="str">
        <f>TEXT(B479,"mmmm")</f>
        <v>May</v>
      </c>
      <c r="O479" s="1" t="str">
        <f>IF(J479&gt;=100000,"Excellent", IF(J479&gt;=50000,"Good","Average"))</f>
        <v>Average</v>
      </c>
      <c r="P479" s="1">
        <f>(H479*G479)*(I479/100)</f>
        <v>80</v>
      </c>
      <c r="Q479" s="1">
        <f ca="1">J479-Q479</f>
        <v>0</v>
      </c>
    </row>
    <row r="480" spans="1:17" x14ac:dyDescent="0.25">
      <c r="A480" s="1">
        <v>1180</v>
      </c>
      <c r="B480" s="1" t="s">
        <v>185</v>
      </c>
      <c r="C480" s="1" t="s">
        <v>45</v>
      </c>
      <c r="D480" s="1" t="s">
        <v>22</v>
      </c>
      <c r="E480" s="1" t="s">
        <v>28</v>
      </c>
      <c r="F480" s="1" t="s">
        <v>15</v>
      </c>
      <c r="G480" s="1">
        <v>2</v>
      </c>
      <c r="H480" s="1">
        <v>800</v>
      </c>
      <c r="I480" s="1">
        <v>5</v>
      </c>
      <c r="J480" s="1">
        <v>1520</v>
      </c>
      <c r="K480" s="1">
        <v>250.37</v>
      </c>
      <c r="L480" s="1" t="str">
        <f>IF(K480&gt;=15000,"High Profit","Low Profit")</f>
        <v>Low Profit</v>
      </c>
      <c r="M480" s="1">
        <f>YEAR(B480)</f>
        <v>2025</v>
      </c>
      <c r="N480" s="1" t="str">
        <f>TEXT(B480,"mmmm")</f>
        <v>May</v>
      </c>
      <c r="O480" s="1" t="str">
        <f>IF(J480&gt;=100000,"Excellent", IF(J480&gt;=50000,"Good","Average"))</f>
        <v>Average</v>
      </c>
      <c r="P480" s="1">
        <f>(H480*G480)*(I480/100)</f>
        <v>80</v>
      </c>
      <c r="Q480" s="1">
        <f ca="1">J480-Q480</f>
        <v>0</v>
      </c>
    </row>
    <row r="481" spans="1:17" x14ac:dyDescent="0.25">
      <c r="A481" s="1">
        <v>1242</v>
      </c>
      <c r="B481" s="1" t="s">
        <v>100</v>
      </c>
      <c r="C481" s="1" t="s">
        <v>39</v>
      </c>
      <c r="D481" s="1" t="s">
        <v>27</v>
      </c>
      <c r="E481" s="1" t="s">
        <v>28</v>
      </c>
      <c r="F481" s="1" t="s">
        <v>15</v>
      </c>
      <c r="G481" s="1">
        <v>2</v>
      </c>
      <c r="H481" s="1">
        <v>800</v>
      </c>
      <c r="I481" s="1">
        <v>5</v>
      </c>
      <c r="J481" s="1">
        <v>1520</v>
      </c>
      <c r="K481" s="1">
        <v>370.28</v>
      </c>
      <c r="L481" s="1" t="str">
        <f>IF(K481&gt;=15000,"High Profit","Low Profit")</f>
        <v>Low Profit</v>
      </c>
      <c r="M481" s="1">
        <f>YEAR(B481)</f>
        <v>2026</v>
      </c>
      <c r="N481" s="1" t="str">
        <f>TEXT(B481,"mmmm")</f>
        <v>April</v>
      </c>
      <c r="O481" s="1" t="str">
        <f>IF(J481&gt;=100000,"Excellent", IF(J481&gt;=50000,"Good","Average"))</f>
        <v>Average</v>
      </c>
      <c r="P481" s="1">
        <f>(H481*G481)*(I481/100)</f>
        <v>80</v>
      </c>
      <c r="Q481" s="1">
        <f ca="1">J481-Q481</f>
        <v>0</v>
      </c>
    </row>
    <row r="482" spans="1:17" x14ac:dyDescent="0.25">
      <c r="A482" s="1">
        <v>1384</v>
      </c>
      <c r="B482" s="1" t="s">
        <v>301</v>
      </c>
      <c r="C482" s="1" t="s">
        <v>45</v>
      </c>
      <c r="D482" s="1" t="s">
        <v>22</v>
      </c>
      <c r="E482" s="1" t="s">
        <v>28</v>
      </c>
      <c r="F482" s="1" t="s">
        <v>15</v>
      </c>
      <c r="G482" s="1">
        <v>2</v>
      </c>
      <c r="H482" s="1">
        <v>800</v>
      </c>
      <c r="I482" s="1">
        <v>5</v>
      </c>
      <c r="J482" s="1">
        <v>1520</v>
      </c>
      <c r="K482" s="1">
        <v>138.91999999999999</v>
      </c>
      <c r="L482" s="1" t="str">
        <f>IF(K482&gt;=15000,"High Profit","Low Profit")</f>
        <v>Low Profit</v>
      </c>
      <c r="M482" s="1">
        <f>YEAR(B482)</f>
        <v>2025</v>
      </c>
      <c r="N482" s="1" t="str">
        <f>TEXT(B482,"mmmm")</f>
        <v>January</v>
      </c>
      <c r="O482" s="1" t="str">
        <f>IF(J482&gt;=100000,"Excellent", IF(J482&gt;=50000,"Good","Average"))</f>
        <v>Average</v>
      </c>
      <c r="P482" s="1">
        <f>(H482*G482)*(I482/100)</f>
        <v>80</v>
      </c>
      <c r="Q482" s="1">
        <f ca="1">J482-Q482</f>
        <v>0</v>
      </c>
    </row>
    <row r="483" spans="1:17" x14ac:dyDescent="0.25">
      <c r="A483" s="1">
        <v>1028</v>
      </c>
      <c r="B483" s="1" t="s">
        <v>58</v>
      </c>
      <c r="C483" s="1" t="s">
        <v>21</v>
      </c>
      <c r="D483" s="1" t="s">
        <v>13</v>
      </c>
      <c r="E483" s="1" t="s">
        <v>14</v>
      </c>
      <c r="F483" s="1" t="s">
        <v>15</v>
      </c>
      <c r="G483" s="1">
        <v>1</v>
      </c>
      <c r="H483" s="1">
        <v>1500</v>
      </c>
      <c r="I483" s="1">
        <v>0</v>
      </c>
      <c r="J483" s="1">
        <v>1500</v>
      </c>
      <c r="K483" s="1">
        <v>362.43</v>
      </c>
      <c r="L483" s="1" t="str">
        <f>IF(K483&gt;=15000,"High Profit","Low Profit")</f>
        <v>Low Profit</v>
      </c>
      <c r="M483" s="1">
        <f>YEAR(B483)</f>
        <v>2025</v>
      </c>
      <c r="N483" s="1" t="str">
        <f>TEXT(B483,"mmmm")</f>
        <v>August</v>
      </c>
      <c r="O483" s="1" t="str">
        <f>IF(J483&gt;=100000,"Excellent", IF(J483&gt;=50000,"Good","Average"))</f>
        <v>Average</v>
      </c>
      <c r="P483" s="1">
        <f>(H483*G483)*(I483/100)</f>
        <v>0</v>
      </c>
      <c r="Q483" s="1">
        <f ca="1">J483-Q483</f>
        <v>0</v>
      </c>
    </row>
    <row r="484" spans="1:17" x14ac:dyDescent="0.25">
      <c r="A484" s="1">
        <v>1120</v>
      </c>
      <c r="B484" s="1" t="s">
        <v>143</v>
      </c>
      <c r="C484" s="1" t="s">
        <v>39</v>
      </c>
      <c r="D484" s="1" t="s">
        <v>27</v>
      </c>
      <c r="E484" s="1" t="s">
        <v>14</v>
      </c>
      <c r="F484" s="1" t="s">
        <v>15</v>
      </c>
      <c r="G484" s="1">
        <v>1</v>
      </c>
      <c r="H484" s="1">
        <v>1500</v>
      </c>
      <c r="I484" s="1">
        <v>0</v>
      </c>
      <c r="J484" s="1">
        <v>1500</v>
      </c>
      <c r="K484" s="1">
        <v>340.16</v>
      </c>
      <c r="L484" s="1" t="str">
        <f>IF(K484&gt;=15000,"High Profit","Low Profit")</f>
        <v>Low Profit</v>
      </c>
      <c r="M484" s="1">
        <f>YEAR(B484)</f>
        <v>2025</v>
      </c>
      <c r="N484" s="1" t="str">
        <f>TEXT(B484,"mmmm")</f>
        <v>July</v>
      </c>
      <c r="O484" s="1" t="str">
        <f>IF(J484&gt;=100000,"Excellent", IF(J484&gt;=50000,"Good","Average"))</f>
        <v>Average</v>
      </c>
      <c r="P484" s="1">
        <f>(H484*G484)*(I484/100)</f>
        <v>0</v>
      </c>
      <c r="Q484" s="1">
        <f ca="1">J484-Q484</f>
        <v>0</v>
      </c>
    </row>
    <row r="485" spans="1:17" x14ac:dyDescent="0.25">
      <c r="A485" s="1">
        <v>1290</v>
      </c>
      <c r="B485" s="1" t="s">
        <v>257</v>
      </c>
      <c r="C485" s="1" t="s">
        <v>12</v>
      </c>
      <c r="D485" s="1" t="s">
        <v>17</v>
      </c>
      <c r="E485" s="1" t="s">
        <v>14</v>
      </c>
      <c r="F485" s="1" t="s">
        <v>15</v>
      </c>
      <c r="G485" s="1">
        <v>1</v>
      </c>
      <c r="H485" s="1">
        <v>1500</v>
      </c>
      <c r="I485" s="1">
        <v>0</v>
      </c>
      <c r="J485" s="1">
        <v>1500</v>
      </c>
      <c r="K485" s="1">
        <v>300.04000000000002</v>
      </c>
      <c r="L485" s="1" t="str">
        <f>IF(K485&gt;=15000,"High Profit","Low Profit")</f>
        <v>Low Profit</v>
      </c>
      <c r="M485" s="1">
        <f>YEAR(B485)</f>
        <v>2025</v>
      </c>
      <c r="N485" s="1" t="str">
        <f>TEXT(B485,"mmmm")</f>
        <v>November</v>
      </c>
      <c r="O485" s="1" t="str">
        <f>IF(J485&gt;=100000,"Excellent", IF(J485&gt;=50000,"Good","Average"))</f>
        <v>Average</v>
      </c>
      <c r="P485" s="1">
        <f>(H485*G485)*(I485/100)</f>
        <v>0</v>
      </c>
      <c r="Q485" s="1">
        <f ca="1">J485-Q485</f>
        <v>0</v>
      </c>
    </row>
    <row r="486" spans="1:17" x14ac:dyDescent="0.25">
      <c r="A486" s="1">
        <v>1004</v>
      </c>
      <c r="B486" s="1" t="s">
        <v>25</v>
      </c>
      <c r="C486" s="1" t="s">
        <v>26</v>
      </c>
      <c r="D486" s="1" t="s">
        <v>27</v>
      </c>
      <c r="E486" s="1" t="s">
        <v>28</v>
      </c>
      <c r="F486" s="1" t="s">
        <v>15</v>
      </c>
      <c r="G486" s="1">
        <v>2</v>
      </c>
      <c r="H486" s="1">
        <v>800</v>
      </c>
      <c r="I486" s="1">
        <v>10</v>
      </c>
      <c r="J486" s="1">
        <v>1440</v>
      </c>
      <c r="K486" s="1">
        <v>242.64</v>
      </c>
      <c r="L486" s="1" t="str">
        <f>IF(K486&gt;=15000,"High Profit","Low Profit")</f>
        <v>Low Profit</v>
      </c>
      <c r="M486" s="1">
        <f>YEAR(B486)</f>
        <v>2026</v>
      </c>
      <c r="N486" s="1" t="str">
        <f>TEXT(B486,"mmmm")</f>
        <v>June</v>
      </c>
      <c r="O486" s="1" t="str">
        <f>IF(J486&gt;=100000,"Excellent", IF(J486&gt;=50000,"Good","Average"))</f>
        <v>Average</v>
      </c>
      <c r="P486" s="1">
        <f>(H486*G486)*(I486/100)</f>
        <v>160</v>
      </c>
      <c r="Q486" s="1">
        <f ca="1">J486-Q486</f>
        <v>0</v>
      </c>
    </row>
    <row r="487" spans="1:17" x14ac:dyDescent="0.25">
      <c r="A487" s="1">
        <v>1076</v>
      </c>
      <c r="B487" s="1" t="s">
        <v>101</v>
      </c>
      <c r="C487" s="1" t="s">
        <v>32</v>
      </c>
      <c r="D487" s="1" t="s">
        <v>13</v>
      </c>
      <c r="E487" s="1" t="s">
        <v>28</v>
      </c>
      <c r="F487" s="1" t="s">
        <v>15</v>
      </c>
      <c r="G487" s="1">
        <v>2</v>
      </c>
      <c r="H487" s="1">
        <v>800</v>
      </c>
      <c r="I487" s="1">
        <v>10</v>
      </c>
      <c r="J487" s="1">
        <v>1440</v>
      </c>
      <c r="K487" s="1">
        <v>137.02000000000001</v>
      </c>
      <c r="L487" s="1" t="str">
        <f>IF(K487&gt;=15000,"High Profit","Low Profit")</f>
        <v>Low Profit</v>
      </c>
      <c r="M487" s="1">
        <f>YEAR(B487)</f>
        <v>2025</v>
      </c>
      <c r="N487" s="1" t="str">
        <f>TEXT(B487,"mmmm")</f>
        <v>May</v>
      </c>
      <c r="O487" s="1" t="str">
        <f>IF(J487&gt;=100000,"Excellent", IF(J487&gt;=50000,"Good","Average"))</f>
        <v>Average</v>
      </c>
      <c r="P487" s="1">
        <f>(H487*G487)*(I487/100)</f>
        <v>160</v>
      </c>
      <c r="Q487" s="1">
        <f ca="1">J487-Q487</f>
        <v>0</v>
      </c>
    </row>
    <row r="488" spans="1:17" x14ac:dyDescent="0.25">
      <c r="A488" s="1">
        <v>1204</v>
      </c>
      <c r="B488" s="1" t="s">
        <v>174</v>
      </c>
      <c r="C488" s="1" t="s">
        <v>41</v>
      </c>
      <c r="D488" s="1" t="s">
        <v>17</v>
      </c>
      <c r="E488" s="1" t="s">
        <v>14</v>
      </c>
      <c r="F488" s="1" t="s">
        <v>15</v>
      </c>
      <c r="G488" s="1">
        <v>1</v>
      </c>
      <c r="H488" s="1">
        <v>1500</v>
      </c>
      <c r="I488" s="1">
        <v>5</v>
      </c>
      <c r="J488" s="1">
        <v>1425</v>
      </c>
      <c r="K488" s="1">
        <v>188.92</v>
      </c>
      <c r="L488" s="1" t="str">
        <f>IF(K488&gt;=15000,"High Profit","Low Profit")</f>
        <v>Low Profit</v>
      </c>
      <c r="M488" s="1">
        <f>YEAR(B488)</f>
        <v>2026</v>
      </c>
      <c r="N488" s="1" t="str">
        <f>TEXT(B488,"mmmm")</f>
        <v>April</v>
      </c>
      <c r="O488" s="1" t="str">
        <f>IF(J488&gt;=100000,"Excellent", IF(J488&gt;=50000,"Good","Average"))</f>
        <v>Average</v>
      </c>
      <c r="P488" s="1">
        <f>(H488*G488)*(I488/100)</f>
        <v>75</v>
      </c>
      <c r="Q488" s="1">
        <f ca="1">J488-Q488</f>
        <v>0</v>
      </c>
    </row>
    <row r="489" spans="1:17" x14ac:dyDescent="0.25">
      <c r="A489" s="1">
        <v>1386</v>
      </c>
      <c r="B489" s="1" t="s">
        <v>114</v>
      </c>
      <c r="C489" s="1" t="s">
        <v>47</v>
      </c>
      <c r="D489" s="1" t="s">
        <v>27</v>
      </c>
      <c r="E489" s="1" t="s">
        <v>14</v>
      </c>
      <c r="F489" s="1" t="s">
        <v>15</v>
      </c>
      <c r="G489" s="1">
        <v>1</v>
      </c>
      <c r="H489" s="1">
        <v>1500</v>
      </c>
      <c r="I489" s="1">
        <v>5</v>
      </c>
      <c r="J489" s="1">
        <v>1425</v>
      </c>
      <c r="K489" s="1">
        <v>129.94</v>
      </c>
      <c r="L489" s="1" t="str">
        <f>IF(K489&gt;=15000,"High Profit","Low Profit")</f>
        <v>Low Profit</v>
      </c>
      <c r="M489" s="1">
        <f>YEAR(B489)</f>
        <v>2025</v>
      </c>
      <c r="N489" s="1" t="str">
        <f>TEXT(B489,"mmmm")</f>
        <v>February</v>
      </c>
      <c r="O489" s="1" t="str">
        <f>IF(J489&gt;=100000,"Excellent", IF(J489&gt;=50000,"Good","Average"))</f>
        <v>Average</v>
      </c>
      <c r="P489" s="1">
        <f>(H489*G489)*(I489/100)</f>
        <v>75</v>
      </c>
      <c r="Q489" s="1">
        <f ca="1">J489-Q489</f>
        <v>0</v>
      </c>
    </row>
    <row r="490" spans="1:17" x14ac:dyDescent="0.25">
      <c r="A490" s="1">
        <v>1151</v>
      </c>
      <c r="B490" s="1" t="s">
        <v>165</v>
      </c>
      <c r="C490" s="1" t="s">
        <v>45</v>
      </c>
      <c r="D490" s="1" t="s">
        <v>13</v>
      </c>
      <c r="E490" s="1" t="s">
        <v>28</v>
      </c>
      <c r="F490" s="1" t="s">
        <v>15</v>
      </c>
      <c r="G490" s="1">
        <v>2</v>
      </c>
      <c r="H490" s="1">
        <v>800</v>
      </c>
      <c r="I490" s="1">
        <v>15</v>
      </c>
      <c r="J490" s="1">
        <v>1360</v>
      </c>
      <c r="K490" s="1">
        <v>189.32</v>
      </c>
      <c r="L490" s="1" t="str">
        <f>IF(K490&gt;=15000,"High Profit","Low Profit")</f>
        <v>Low Profit</v>
      </c>
      <c r="M490" s="1">
        <f>YEAR(B490)</f>
        <v>2026</v>
      </c>
      <c r="N490" s="1" t="str">
        <f>TEXT(B490,"mmmm")</f>
        <v>April</v>
      </c>
      <c r="O490" s="1" t="str">
        <f>IF(J490&gt;=100000,"Excellent", IF(J490&gt;=50000,"Good","Average"))</f>
        <v>Average</v>
      </c>
      <c r="P490" s="1">
        <f>(H490*G490)*(I490/100)</f>
        <v>240</v>
      </c>
      <c r="Q490" s="1">
        <f ca="1">J490-Q490</f>
        <v>0</v>
      </c>
    </row>
    <row r="491" spans="1:17" x14ac:dyDescent="0.25">
      <c r="A491" s="1">
        <v>1182</v>
      </c>
      <c r="B491" s="1" t="s">
        <v>186</v>
      </c>
      <c r="C491" s="1" t="s">
        <v>39</v>
      </c>
      <c r="D491" s="1" t="s">
        <v>22</v>
      </c>
      <c r="E491" s="1" t="s">
        <v>28</v>
      </c>
      <c r="F491" s="1" t="s">
        <v>15</v>
      </c>
      <c r="G491" s="1">
        <v>2</v>
      </c>
      <c r="H491" s="1">
        <v>800</v>
      </c>
      <c r="I491" s="1">
        <v>15</v>
      </c>
      <c r="J491" s="1">
        <v>1360</v>
      </c>
      <c r="K491" s="1">
        <v>160.34</v>
      </c>
      <c r="L491" s="1" t="str">
        <f>IF(K491&gt;=15000,"High Profit","Low Profit")</f>
        <v>Low Profit</v>
      </c>
      <c r="M491" s="1">
        <f>YEAR(B491)</f>
        <v>2026</v>
      </c>
      <c r="N491" s="1" t="str">
        <f>TEXT(B491,"mmmm")</f>
        <v>April</v>
      </c>
      <c r="O491" s="1" t="str">
        <f>IF(J491&gt;=100000,"Excellent", IF(J491&gt;=50000,"Good","Average"))</f>
        <v>Average</v>
      </c>
      <c r="P491" s="1">
        <f>(H491*G491)*(I491/100)</f>
        <v>240</v>
      </c>
      <c r="Q491" s="1">
        <f ca="1">J491-Q491</f>
        <v>0</v>
      </c>
    </row>
    <row r="492" spans="1:17" x14ac:dyDescent="0.25">
      <c r="A492" s="1">
        <v>1134</v>
      </c>
      <c r="B492" s="1" t="s">
        <v>152</v>
      </c>
      <c r="C492" s="1" t="s">
        <v>45</v>
      </c>
      <c r="D492" s="1" t="s">
        <v>13</v>
      </c>
      <c r="E492" s="1" t="s">
        <v>14</v>
      </c>
      <c r="F492" s="1" t="s">
        <v>15</v>
      </c>
      <c r="G492" s="1">
        <v>1</v>
      </c>
      <c r="H492" s="1">
        <v>1500</v>
      </c>
      <c r="I492" s="1">
        <v>10</v>
      </c>
      <c r="J492" s="1">
        <v>1350</v>
      </c>
      <c r="K492" s="1">
        <v>116.77</v>
      </c>
      <c r="L492" s="1" t="str">
        <f>IF(K492&gt;=15000,"High Profit","Low Profit")</f>
        <v>Low Profit</v>
      </c>
      <c r="M492" s="1">
        <f>YEAR(B492)</f>
        <v>2026</v>
      </c>
      <c r="N492" s="1" t="str">
        <f>TEXT(B492,"mmmm")</f>
        <v>June</v>
      </c>
      <c r="O492" s="1" t="str">
        <f>IF(J492&gt;=100000,"Excellent", IF(J492&gt;=50000,"Good","Average"))</f>
        <v>Average</v>
      </c>
      <c r="P492" s="1">
        <f>(H492*G492)*(I492/100)</f>
        <v>150</v>
      </c>
      <c r="Q492" s="1">
        <f ca="1">J492-Q492</f>
        <v>0</v>
      </c>
    </row>
    <row r="493" spans="1:17" x14ac:dyDescent="0.25">
      <c r="A493" s="1">
        <v>1443</v>
      </c>
      <c r="B493" s="1" t="s">
        <v>326</v>
      </c>
      <c r="C493" s="1" t="s">
        <v>47</v>
      </c>
      <c r="D493" s="1" t="s">
        <v>17</v>
      </c>
      <c r="E493" s="1" t="s">
        <v>28</v>
      </c>
      <c r="F493" s="1" t="s">
        <v>15</v>
      </c>
      <c r="G493" s="1">
        <v>2</v>
      </c>
      <c r="H493" s="1">
        <v>800</v>
      </c>
      <c r="I493" s="1">
        <v>20</v>
      </c>
      <c r="J493" s="1">
        <v>1280</v>
      </c>
      <c r="K493" s="1">
        <v>309.75</v>
      </c>
      <c r="L493" s="1" t="str">
        <f>IF(K493&gt;=15000,"High Profit","Low Profit")</f>
        <v>Low Profit</v>
      </c>
      <c r="M493" s="1">
        <f>YEAR(B493)</f>
        <v>2025</v>
      </c>
      <c r="N493" s="1" t="str">
        <f>TEXT(B493,"mmmm")</f>
        <v>February</v>
      </c>
      <c r="O493" s="1" t="str">
        <f>IF(J493&gt;=100000,"Excellent", IF(J493&gt;=50000,"Good","Average"))</f>
        <v>Average</v>
      </c>
      <c r="P493" s="1">
        <f>(H493*G493)*(I493/100)</f>
        <v>320</v>
      </c>
      <c r="Q493" s="1">
        <f ca="1">J493-Q493</f>
        <v>0</v>
      </c>
    </row>
    <row r="494" spans="1:17" x14ac:dyDescent="0.25">
      <c r="A494" s="1">
        <v>1011</v>
      </c>
      <c r="B494" s="1" t="s">
        <v>38</v>
      </c>
      <c r="C494" s="1" t="s">
        <v>39</v>
      </c>
      <c r="D494" s="1" t="s">
        <v>27</v>
      </c>
      <c r="E494" s="1" t="s">
        <v>14</v>
      </c>
      <c r="F494" s="1" t="s">
        <v>15</v>
      </c>
      <c r="G494" s="1">
        <v>1</v>
      </c>
      <c r="H494" s="1">
        <v>1500</v>
      </c>
      <c r="I494" s="1">
        <v>15</v>
      </c>
      <c r="J494" s="1">
        <v>1275</v>
      </c>
      <c r="K494" s="1">
        <v>307.95</v>
      </c>
      <c r="L494" s="1" t="str">
        <f>IF(K494&gt;=15000,"High Profit","Low Profit")</f>
        <v>Low Profit</v>
      </c>
      <c r="M494" s="1">
        <f>YEAR(B494)</f>
        <v>2026</v>
      </c>
      <c r="N494" s="1" t="str">
        <f>TEXT(B494,"mmmm")</f>
        <v>June</v>
      </c>
      <c r="O494" s="1" t="str">
        <f>IF(J494&gt;=100000,"Excellent", IF(J494&gt;=50000,"Good","Average"))</f>
        <v>Average</v>
      </c>
      <c r="P494" s="1">
        <f>(H494*G494)*(I494/100)</f>
        <v>225</v>
      </c>
      <c r="Q494" s="1">
        <f ca="1">J494-Q494</f>
        <v>0</v>
      </c>
    </row>
    <row r="495" spans="1:17" x14ac:dyDescent="0.25">
      <c r="A495" s="1">
        <v>1259</v>
      </c>
      <c r="B495" s="1" t="s">
        <v>238</v>
      </c>
      <c r="C495" s="1" t="s">
        <v>45</v>
      </c>
      <c r="D495" s="1" t="s">
        <v>27</v>
      </c>
      <c r="E495" s="1" t="s">
        <v>14</v>
      </c>
      <c r="F495" s="1" t="s">
        <v>15</v>
      </c>
      <c r="G495" s="1">
        <v>1</v>
      </c>
      <c r="H495" s="1">
        <v>1500</v>
      </c>
      <c r="I495" s="1">
        <v>20</v>
      </c>
      <c r="J495" s="1">
        <v>1200</v>
      </c>
      <c r="K495" s="1">
        <v>209.24</v>
      </c>
      <c r="L495" s="1" t="str">
        <f>IF(K495&gt;=15000,"High Profit","Low Profit")</f>
        <v>Low Profit</v>
      </c>
      <c r="M495" s="1">
        <f>YEAR(B495)</f>
        <v>2026</v>
      </c>
      <c r="N495" s="1" t="str">
        <f>TEXT(B495,"mmmm")</f>
        <v>June</v>
      </c>
      <c r="O495" s="1" t="str">
        <f>IF(J495&gt;=100000,"Excellent", IF(J495&gt;=50000,"Good","Average"))</f>
        <v>Average</v>
      </c>
      <c r="P495" s="1">
        <f>(H495*G495)*(I495/100)</f>
        <v>300</v>
      </c>
      <c r="Q495" s="1">
        <f ca="1">J495-Q495</f>
        <v>0</v>
      </c>
    </row>
    <row r="496" spans="1:17" x14ac:dyDescent="0.25">
      <c r="A496" s="1">
        <v>1314</v>
      </c>
      <c r="B496" s="1" t="s">
        <v>131</v>
      </c>
      <c r="C496" s="1" t="s">
        <v>21</v>
      </c>
      <c r="D496" s="1" t="s">
        <v>22</v>
      </c>
      <c r="E496" s="1" t="s">
        <v>14</v>
      </c>
      <c r="F496" s="1" t="s">
        <v>15</v>
      </c>
      <c r="G496" s="1">
        <v>1</v>
      </c>
      <c r="H496" s="1">
        <v>1500</v>
      </c>
      <c r="I496" s="1">
        <v>20</v>
      </c>
      <c r="J496" s="1">
        <v>1200</v>
      </c>
      <c r="K496" s="1">
        <v>203.55</v>
      </c>
      <c r="L496" s="1" t="str">
        <f>IF(K496&gt;=15000,"High Profit","Low Profit")</f>
        <v>Low Profit</v>
      </c>
      <c r="M496" s="1">
        <f>YEAR(B496)</f>
        <v>2026</v>
      </c>
      <c r="N496" s="1" t="str">
        <f>TEXT(B496,"mmmm")</f>
        <v>June</v>
      </c>
      <c r="O496" s="1" t="str">
        <f>IF(J496&gt;=100000,"Excellent", IF(J496&gt;=50000,"Good","Average"))</f>
        <v>Average</v>
      </c>
      <c r="P496" s="1">
        <f>(H496*G496)*(I496/100)</f>
        <v>300</v>
      </c>
      <c r="Q496" s="1">
        <f ca="1">J496-Q496</f>
        <v>0</v>
      </c>
    </row>
    <row r="497" spans="1:17" x14ac:dyDescent="0.25">
      <c r="A497" s="1">
        <v>1064</v>
      </c>
      <c r="B497" s="1" t="s">
        <v>89</v>
      </c>
      <c r="C497" s="1" t="s">
        <v>36</v>
      </c>
      <c r="D497" s="1" t="s">
        <v>13</v>
      </c>
      <c r="E497" s="1" t="s">
        <v>28</v>
      </c>
      <c r="F497" s="1" t="s">
        <v>15</v>
      </c>
      <c r="G497" s="1">
        <v>1</v>
      </c>
      <c r="H497" s="1">
        <v>800</v>
      </c>
      <c r="I497" s="1">
        <v>0</v>
      </c>
      <c r="J497" s="1">
        <v>800</v>
      </c>
      <c r="K497" s="1">
        <v>188.79</v>
      </c>
      <c r="L497" s="1" t="str">
        <f>IF(K497&gt;=15000,"High Profit","Low Profit")</f>
        <v>Low Profit</v>
      </c>
      <c r="M497" s="1">
        <f>YEAR(B497)</f>
        <v>2026</v>
      </c>
      <c r="N497" s="1" t="str">
        <f>TEXT(B497,"mmmm")</f>
        <v>June</v>
      </c>
      <c r="O497" s="1" t="str">
        <f>IF(J497&gt;=100000,"Excellent", IF(J497&gt;=50000,"Good","Average"))</f>
        <v>Average</v>
      </c>
      <c r="P497" s="1">
        <f>(H497*G497)*(I497/100)</f>
        <v>0</v>
      </c>
      <c r="Q497" s="1">
        <f ca="1">J497-Q497</f>
        <v>0</v>
      </c>
    </row>
    <row r="498" spans="1:17" x14ac:dyDescent="0.25">
      <c r="A498" s="1">
        <v>1245</v>
      </c>
      <c r="B498" s="1" t="s">
        <v>229</v>
      </c>
      <c r="C498" s="1" t="s">
        <v>26</v>
      </c>
      <c r="D498" s="1" t="s">
        <v>22</v>
      </c>
      <c r="E498" s="1" t="s">
        <v>28</v>
      </c>
      <c r="F498" s="1" t="s">
        <v>15</v>
      </c>
      <c r="G498" s="1">
        <v>1</v>
      </c>
      <c r="H498" s="1">
        <v>800</v>
      </c>
      <c r="I498" s="1">
        <v>0</v>
      </c>
      <c r="J498" s="1">
        <v>800</v>
      </c>
      <c r="K498" s="1">
        <v>187.98</v>
      </c>
      <c r="L498" s="1" t="str">
        <f>IF(K498&gt;=15000,"High Profit","Low Profit")</f>
        <v>Low Profit</v>
      </c>
      <c r="M498" s="1">
        <f>YEAR(B498)</f>
        <v>2026</v>
      </c>
      <c r="N498" s="1" t="str">
        <f>TEXT(B498,"mmmm")</f>
        <v>January</v>
      </c>
      <c r="O498" s="1" t="str">
        <f>IF(J498&gt;=100000,"Excellent", IF(J498&gt;=50000,"Good","Average"))</f>
        <v>Average</v>
      </c>
      <c r="P498" s="1">
        <f>(H498*G498)*(I498/100)</f>
        <v>0</v>
      </c>
      <c r="Q498" s="1">
        <f ca="1">J498-Q498</f>
        <v>0</v>
      </c>
    </row>
    <row r="499" spans="1:17" x14ac:dyDescent="0.25">
      <c r="A499" s="1">
        <v>1038</v>
      </c>
      <c r="B499" s="1" t="s">
        <v>61</v>
      </c>
      <c r="C499" s="1" t="s">
        <v>32</v>
      </c>
      <c r="D499" s="1" t="s">
        <v>27</v>
      </c>
      <c r="E499" s="1" t="s">
        <v>28</v>
      </c>
      <c r="F499" s="1" t="s">
        <v>15</v>
      </c>
      <c r="G499" s="1">
        <v>1</v>
      </c>
      <c r="H499" s="1">
        <v>800</v>
      </c>
      <c r="I499" s="1">
        <v>5</v>
      </c>
      <c r="J499" s="1">
        <v>760</v>
      </c>
      <c r="K499" s="1">
        <v>77.17</v>
      </c>
      <c r="L499" s="1" t="str">
        <f>IF(K499&gt;=15000,"High Profit","Low Profit")</f>
        <v>Low Profit</v>
      </c>
      <c r="M499" s="1">
        <f>YEAR(B499)</f>
        <v>2025</v>
      </c>
      <c r="N499" s="1" t="str">
        <f>TEXT(B499,"mmmm")</f>
        <v>November</v>
      </c>
      <c r="O499" s="1" t="str">
        <f>IF(J499&gt;=100000,"Excellent", IF(J499&gt;=50000,"Good","Average"))</f>
        <v>Average</v>
      </c>
      <c r="P499" s="1">
        <f>(H499*G499)*(I499/100)</f>
        <v>40</v>
      </c>
      <c r="Q499" s="1">
        <f ca="1">J499-Q499</f>
        <v>0</v>
      </c>
    </row>
    <row r="500" spans="1:17" x14ac:dyDescent="0.25">
      <c r="A500" s="1">
        <v>1039</v>
      </c>
      <c r="B500" s="1" t="s">
        <v>66</v>
      </c>
      <c r="C500" s="1" t="s">
        <v>32</v>
      </c>
      <c r="D500" s="1" t="s">
        <v>13</v>
      </c>
      <c r="E500" s="1" t="s">
        <v>28</v>
      </c>
      <c r="F500" s="1" t="s">
        <v>15</v>
      </c>
      <c r="G500" s="1">
        <v>1</v>
      </c>
      <c r="H500" s="1">
        <v>800</v>
      </c>
      <c r="I500" s="1">
        <v>10</v>
      </c>
      <c r="J500" s="1">
        <v>720</v>
      </c>
      <c r="K500" s="1">
        <v>86.8</v>
      </c>
      <c r="L500" s="1" t="str">
        <f>IF(K500&gt;=15000,"High Profit","Low Profit")</f>
        <v>Low Profit</v>
      </c>
      <c r="M500" s="1">
        <f>YEAR(B500)</f>
        <v>2025</v>
      </c>
      <c r="N500" s="1" t="str">
        <f>TEXT(B500,"mmmm")</f>
        <v>January</v>
      </c>
      <c r="O500" s="1" t="str">
        <f>IF(J500&gt;=100000,"Excellent", IF(J500&gt;=50000,"Good","Average"))</f>
        <v>Average</v>
      </c>
      <c r="P500" s="1">
        <f>(H500*G500)*(I500/100)</f>
        <v>80</v>
      </c>
      <c r="Q500" s="1">
        <f ca="1">J500-Q500</f>
        <v>0</v>
      </c>
    </row>
    <row r="501" spans="1:17" x14ac:dyDescent="0.25">
      <c r="A501" s="1">
        <v>1457</v>
      </c>
      <c r="B501" s="1" t="s">
        <v>332</v>
      </c>
      <c r="C501" s="1" t="s">
        <v>36</v>
      </c>
      <c r="D501" s="1" t="s">
        <v>17</v>
      </c>
      <c r="E501" s="1" t="s">
        <v>28</v>
      </c>
      <c r="F501" s="1" t="s">
        <v>15</v>
      </c>
      <c r="G501" s="1">
        <v>1</v>
      </c>
      <c r="H501" s="1">
        <v>800</v>
      </c>
      <c r="I501" s="1">
        <v>15</v>
      </c>
      <c r="J501" s="1">
        <v>680</v>
      </c>
      <c r="K501" s="1">
        <v>105.61</v>
      </c>
      <c r="L501" s="1" t="str">
        <f>IF(K501&gt;=15000,"High Profit","Low Profit")</f>
        <v>Low Profit</v>
      </c>
      <c r="M501" s="1">
        <f>YEAR(B501)</f>
        <v>2025</v>
      </c>
      <c r="N501" s="1" t="str">
        <f>TEXT(B501,"mmmm")</f>
        <v>February</v>
      </c>
      <c r="O501" s="1" t="str">
        <f>IF(J501&gt;=100000,"Excellent", IF(J501&gt;=50000,"Good","Average"))</f>
        <v>Average</v>
      </c>
      <c r="P501" s="1">
        <f>(H501*G501)*(I501/100)</f>
        <v>120</v>
      </c>
      <c r="Q501" s="1">
        <f ca="1">J501-Q501</f>
        <v>0</v>
      </c>
    </row>
  </sheetData>
  <autoFilter ref="A1:R501"/>
  <sortState ref="A2:Q501">
    <sortCondition descending="1" ref="J2:J501"/>
  </sortState>
  <conditionalFormatting sqref="K2">
    <cfRule type="cellIs" dxfId="3" priority="4" operator="greaterThan">
      <formula>15000</formula>
    </cfRule>
    <cfRule type="cellIs" dxfId="2" priority="3" operator="greaterThan">
      <formula>15000</formula>
    </cfRule>
  </conditionalFormatting>
  <conditionalFormatting sqref="K2:K501">
    <cfRule type="cellIs" dxfId="0" priority="2" operator="greaterThan">
      <formula>15000</formula>
    </cfRule>
    <cfRule type="cellIs" dxfId="1" priority="1" operator="lessThan">
      <formula>5000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tabSelected="1" workbookViewId="0">
      <selection activeCell="D7" sqref="D7"/>
    </sheetView>
  </sheetViews>
  <sheetFormatPr defaultRowHeight="15" x14ac:dyDescent="0.25"/>
  <cols>
    <col min="1" max="1" width="13.140625" bestFit="1" customWidth="1"/>
    <col min="2" max="2" width="12.140625" bestFit="1" customWidth="1"/>
  </cols>
  <sheetData>
    <row r="3" spans="1:2" x14ac:dyDescent="0.25">
      <c r="A3" s="5" t="s">
        <v>359</v>
      </c>
      <c r="B3" t="s">
        <v>361</v>
      </c>
    </row>
    <row r="4" spans="1:2" x14ac:dyDescent="0.25">
      <c r="A4" s="6" t="s">
        <v>17</v>
      </c>
      <c r="B4" s="7">
        <v>6419045</v>
      </c>
    </row>
    <row r="5" spans="1:2" x14ac:dyDescent="0.25">
      <c r="A5" s="6" t="s">
        <v>360</v>
      </c>
      <c r="B5" s="7">
        <v>6419045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
    </sheetView>
  </sheetViews>
  <sheetFormatPr defaultRowHeight="15" x14ac:dyDescent="0.25"/>
  <cols>
    <col min="1" max="1" width="13.140625" bestFit="1" customWidth="1"/>
    <col min="2" max="2" width="12.5703125" bestFit="1" customWidth="1"/>
  </cols>
  <sheetData>
    <row r="3" spans="1:2" x14ac:dyDescent="0.25">
      <c r="A3" s="5" t="s">
        <v>359</v>
      </c>
      <c r="B3" t="s">
        <v>362</v>
      </c>
    </row>
    <row r="4" spans="1:2" x14ac:dyDescent="0.25">
      <c r="A4" s="6" t="s">
        <v>18</v>
      </c>
      <c r="B4" s="7">
        <v>145033.30000000002</v>
      </c>
    </row>
    <row r="5" spans="1:2" x14ac:dyDescent="0.25">
      <c r="A5" s="6" t="s">
        <v>14</v>
      </c>
      <c r="B5" s="7">
        <v>31699.090000000004</v>
      </c>
    </row>
    <row r="6" spans="1:2" x14ac:dyDescent="0.25">
      <c r="A6" s="6" t="s">
        <v>34</v>
      </c>
      <c r="B6" s="7">
        <v>523103.38</v>
      </c>
    </row>
    <row r="7" spans="1:2" x14ac:dyDescent="0.25">
      <c r="A7" s="6" t="s">
        <v>23</v>
      </c>
      <c r="B7" s="7">
        <v>141344.25</v>
      </c>
    </row>
    <row r="8" spans="1:2" x14ac:dyDescent="0.25">
      <c r="A8" s="6" t="s">
        <v>28</v>
      </c>
      <c r="B8" s="7">
        <v>11418.900000000001</v>
      </c>
    </row>
    <row r="9" spans="1:2" x14ac:dyDescent="0.25">
      <c r="A9" s="6" t="s">
        <v>43</v>
      </c>
      <c r="B9" s="7">
        <v>137793.49</v>
      </c>
    </row>
    <row r="10" spans="1:2" x14ac:dyDescent="0.25">
      <c r="A10" s="6" t="s">
        <v>360</v>
      </c>
      <c r="B10" s="7">
        <v>990392.41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B3" sqref="B3"/>
    </sheetView>
  </sheetViews>
  <sheetFormatPr defaultRowHeight="15" x14ac:dyDescent="0.25"/>
  <cols>
    <col min="1" max="1" width="13.140625" customWidth="1"/>
    <col min="2" max="2" width="12.140625" bestFit="1" customWidth="1"/>
  </cols>
  <sheetData>
    <row r="3" spans="1:2" x14ac:dyDescent="0.25">
      <c r="A3" s="5" t="s">
        <v>359</v>
      </c>
      <c r="B3" t="s">
        <v>361</v>
      </c>
    </row>
    <row r="4" spans="1:2" x14ac:dyDescent="0.25">
      <c r="A4" s="6" t="s">
        <v>363</v>
      </c>
      <c r="B4" s="7">
        <v>688650</v>
      </c>
    </row>
    <row r="5" spans="1:2" x14ac:dyDescent="0.25">
      <c r="A5" s="6" t="s">
        <v>364</v>
      </c>
      <c r="B5" s="7">
        <v>1175160</v>
      </c>
    </row>
    <row r="6" spans="1:2" x14ac:dyDescent="0.25">
      <c r="A6" s="6" t="s">
        <v>365</v>
      </c>
      <c r="B6" s="7">
        <v>1022710</v>
      </c>
    </row>
    <row r="7" spans="1:2" x14ac:dyDescent="0.25">
      <c r="A7" s="6" t="s">
        <v>366</v>
      </c>
      <c r="B7" s="7">
        <v>127215</v>
      </c>
    </row>
    <row r="8" spans="1:2" x14ac:dyDescent="0.25">
      <c r="A8" s="6" t="s">
        <v>367</v>
      </c>
      <c r="B8" s="7">
        <v>1007600</v>
      </c>
    </row>
    <row r="9" spans="1:2" x14ac:dyDescent="0.25">
      <c r="A9" s="6" t="s">
        <v>368</v>
      </c>
      <c r="B9" s="7">
        <v>55410</v>
      </c>
    </row>
    <row r="10" spans="1:2" x14ac:dyDescent="0.25">
      <c r="A10" s="6" t="s">
        <v>369</v>
      </c>
      <c r="B10" s="7">
        <v>342650</v>
      </c>
    </row>
    <row r="11" spans="1:2" x14ac:dyDescent="0.25">
      <c r="A11" s="6" t="s">
        <v>370</v>
      </c>
      <c r="B11" s="7">
        <v>454000</v>
      </c>
    </row>
    <row r="12" spans="1:2" x14ac:dyDescent="0.25">
      <c r="A12" s="6" t="s">
        <v>371</v>
      </c>
      <c r="B12" s="7">
        <v>249040</v>
      </c>
    </row>
    <row r="13" spans="1:2" x14ac:dyDescent="0.25">
      <c r="A13" s="6" t="s">
        <v>372</v>
      </c>
      <c r="B13" s="7">
        <v>73920</v>
      </c>
    </row>
    <row r="14" spans="1:2" x14ac:dyDescent="0.25">
      <c r="A14" s="6" t="s">
        <v>373</v>
      </c>
      <c r="B14" s="7">
        <v>651800</v>
      </c>
    </row>
    <row r="15" spans="1:2" x14ac:dyDescent="0.25">
      <c r="A15" s="6" t="s">
        <v>374</v>
      </c>
      <c r="B15" s="7">
        <v>570890</v>
      </c>
    </row>
    <row r="16" spans="1:2" x14ac:dyDescent="0.25">
      <c r="A16" s="6" t="s">
        <v>360</v>
      </c>
      <c r="B16" s="7">
        <v>6419045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3.140625" bestFit="1" customWidth="1"/>
    <col min="2" max="2" width="15.42578125" bestFit="1" customWidth="1"/>
  </cols>
  <sheetData>
    <row r="3" spans="1:2" x14ac:dyDescent="0.25">
      <c r="A3" s="5" t="s">
        <v>359</v>
      </c>
      <c r="B3" t="s">
        <v>375</v>
      </c>
    </row>
    <row r="4" spans="1:2" x14ac:dyDescent="0.25">
      <c r="A4" s="6" t="s">
        <v>15</v>
      </c>
      <c r="B4" s="7">
        <v>215</v>
      </c>
    </row>
    <row r="5" spans="1:2" x14ac:dyDescent="0.25">
      <c r="A5" s="6" t="s">
        <v>24</v>
      </c>
      <c r="B5" s="7">
        <v>274</v>
      </c>
    </row>
    <row r="6" spans="1:2" x14ac:dyDescent="0.25">
      <c r="A6" s="6" t="s">
        <v>19</v>
      </c>
      <c r="B6" s="7">
        <v>130</v>
      </c>
    </row>
    <row r="7" spans="1:2" x14ac:dyDescent="0.25">
      <c r="A7" s="6" t="s">
        <v>360</v>
      </c>
      <c r="B7" s="7">
        <v>619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N16" sqref="N16"/>
    </sheetView>
  </sheetViews>
  <sheetFormatPr defaultRowHeight="15" x14ac:dyDescent="0.25"/>
  <cols>
    <col min="1" max="1" width="13.42578125" bestFit="1" customWidth="1"/>
    <col min="2" max="2" width="10.140625" bestFit="1" customWidth="1"/>
  </cols>
  <sheetData>
    <row r="1" spans="1:2" ht="16.5" thickBot="1" x14ac:dyDescent="0.3">
      <c r="A1" s="8" t="s">
        <v>354</v>
      </c>
      <c r="B1" s="9">
        <f>SUM(Analysis!J:J)</f>
        <v>34878370</v>
      </c>
    </row>
    <row r="2" spans="1:2" ht="16.5" thickBot="1" x14ac:dyDescent="0.3">
      <c r="A2" s="8" t="s">
        <v>355</v>
      </c>
      <c r="B2" s="9">
        <f>SUM(Analysis!K:K)</f>
        <v>5607977.9399999995</v>
      </c>
    </row>
    <row r="3" spans="1:2" ht="16.5" thickBot="1" x14ac:dyDescent="0.3">
      <c r="A3" s="8" t="s">
        <v>356</v>
      </c>
      <c r="B3" s="9">
        <f>COUNTA(Analysis!A:A)-1</f>
        <v>500</v>
      </c>
    </row>
    <row r="4" spans="1:2" ht="16.5" thickBot="1" x14ac:dyDescent="0.3">
      <c r="A4" s="8" t="s">
        <v>357</v>
      </c>
      <c r="B4" s="9">
        <f>AVERAGE(Analysis!J:J)</f>
        <v>69756.740000000005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vt:lpstr>
      <vt:lpstr>Analysis</vt:lpstr>
      <vt:lpstr>Sum_Of_Sales</vt:lpstr>
      <vt:lpstr>Profit by Product</vt:lpstr>
      <vt:lpstr>Monthly Sales</vt:lpstr>
      <vt:lpstr>Quantity by Category</vt:lpstr>
      <vt:lpstr>Dashboards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2026-07-22T17:33:18Z</dcterms:created>
  <dcterms:modified xsi:type="dcterms:W3CDTF">2026-07-22T19:05:49Z</dcterms:modified>
</cp:coreProperties>
</file>